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ossgran\Documents\HighchartsData\"/>
    </mc:Choice>
  </mc:AlternateContent>
  <bookViews>
    <workbookView xWindow="0" yWindow="420" windowWidth="18900" windowHeight="5850" activeTab="1"/>
  </bookViews>
  <sheets>
    <sheet name="FinRes Types" sheetId="9" r:id="rId1"/>
    <sheet name="FRP Stats" sheetId="10" r:id="rId2"/>
    <sheet name="ALL - Totals" sheetId="3" r:id="rId3"/>
    <sheet name="Group 1 ALL" sheetId="1" r:id="rId4"/>
    <sheet name="Group 2 ALL" sheetId="4" r:id="rId5"/>
    <sheet name="Oil Class 1" sheetId="5" r:id="rId6"/>
    <sheet name="NEW JENNIFER" sheetId="11" r:id="rId7"/>
  </sheets>
  <definedNames>
    <definedName name="_xlnm._FilterDatabase" localSheetId="0" hidden="1">'FinRes Types'!$A$6:$R$100</definedName>
    <definedName name="_xlnm._FilterDatabase" localSheetId="3" hidden="1">'Group 1 ALL'!$A$6:$D$6</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0" i="11" l="1"/>
  <c r="E19" i="11"/>
  <c r="E18" i="11"/>
  <c r="E4" i="11"/>
  <c r="E6" i="11"/>
  <c r="E7" i="11"/>
  <c r="E8" i="11"/>
  <c r="E9" i="11"/>
  <c r="E11" i="11"/>
  <c r="E12" i="11"/>
  <c r="E14" i="11"/>
  <c r="E15" i="11"/>
  <c r="E3" i="11"/>
  <c r="J5" i="10" l="1"/>
  <c r="Q4" i="9"/>
  <c r="G4" i="9"/>
  <c r="H4" i="9"/>
  <c r="I4" i="9"/>
  <c r="J4" i="9"/>
  <c r="K4" i="9"/>
  <c r="L4" i="9"/>
  <c r="M4" i="9"/>
  <c r="N4" i="9"/>
  <c r="O4" i="9"/>
  <c r="P4" i="9"/>
  <c r="F4" i="9"/>
  <c r="J6" i="10" l="1"/>
  <c r="J7" i="10"/>
  <c r="J8" i="10"/>
  <c r="J9" i="10"/>
  <c r="J10" i="10"/>
  <c r="J11" i="10"/>
  <c r="J12" i="10"/>
  <c r="J13" i="10"/>
  <c r="J14" i="10"/>
  <c r="J15" i="10"/>
  <c r="J16" i="10"/>
  <c r="E15" i="3" l="1"/>
  <c r="F7" i="3" s="1"/>
  <c r="F12" i="3" l="1"/>
  <c r="F8" i="3"/>
  <c r="F14" i="3"/>
  <c r="F10" i="3"/>
  <c r="F6" i="3"/>
  <c r="F13" i="3"/>
  <c r="F9" i="3"/>
  <c r="F5" i="3"/>
  <c r="F11" i="3"/>
</calcChain>
</file>

<file path=xl/comments1.xml><?xml version="1.0" encoding="utf-8"?>
<comments xmlns="http://schemas.openxmlformats.org/spreadsheetml/2006/main">
  <authors>
    <author>Donovan Pederson</author>
    <author>Susan Baker</author>
  </authors>
  <commentList>
    <comment ref="A2" authorId="0" shapeId="0">
      <text>
        <r>
          <rPr>
            <b/>
            <sz val="9"/>
            <color indexed="81"/>
            <rFont val="Tahoma"/>
            <family val="2"/>
          </rPr>
          <t>Donovan Pederson:</t>
        </r>
        <r>
          <rPr>
            <sz val="9"/>
            <color indexed="81"/>
            <rFont val="Tahoma"/>
            <family val="2"/>
          </rPr>
          <t xml:space="preserve">
Dark green fill - confidential
Red text - abandoned/deactivated
Yellow fill - not filed</t>
        </r>
      </text>
    </comment>
    <comment ref="R7" authorId="0" shapeId="0">
      <text>
        <r>
          <rPr>
            <sz val="9"/>
            <color indexed="81"/>
            <rFont val="Tahoma"/>
            <family val="2"/>
          </rPr>
          <t>1057533 is using a combination of $31.8 million in lines of credit and insurance (all backed by a parental guarantee) to meet its ALL. FR Plan is conditionally approved.</t>
        </r>
      </text>
    </comment>
    <comment ref="R8" authorId="0" shapeId="0">
      <text>
        <r>
          <rPr>
            <b/>
            <sz val="9"/>
            <color indexed="81"/>
            <rFont val="Tahoma"/>
            <family val="2"/>
          </rPr>
          <t>Donovan Pederson:</t>
        </r>
        <r>
          <rPr>
            <sz val="9"/>
            <color indexed="81"/>
            <rFont val="Tahoma"/>
            <family val="2"/>
          </rPr>
          <t xml:space="preserve">
Filed confidentially.</t>
        </r>
      </text>
    </comment>
    <comment ref="H9" authorId="0" shapeId="0">
      <text>
        <r>
          <rPr>
            <b/>
            <sz val="9"/>
            <color indexed="81"/>
            <rFont val="Tahoma"/>
            <family val="2"/>
          </rPr>
          <t>Donovan Pederson:</t>
        </r>
        <r>
          <rPr>
            <sz val="9"/>
            <color indexed="81"/>
            <rFont val="Tahoma"/>
            <family val="2"/>
          </rPr>
          <t xml:space="preserve">
Intercompany revolving credit facility provided by Enbridge Inc. </t>
        </r>
      </text>
    </comment>
    <comment ref="R9" authorId="0" shapeId="0">
      <text>
        <r>
          <rPr>
            <b/>
            <sz val="9"/>
            <color indexed="81"/>
            <rFont val="Tahoma"/>
            <family val="2"/>
          </rPr>
          <t>Donovan Pederson:</t>
        </r>
        <r>
          <rPr>
            <sz val="9"/>
            <color indexed="81"/>
            <rFont val="Tahoma"/>
            <family val="2"/>
          </rPr>
          <t xml:space="preserve">
2193914 Canada Ltd. Is an Enbridge subsidiary. It proposes to use a combination of cash, credit facilities, and insurance to meet its ALL. Its parent Enbridge Inc. has in aggregate $648 million cash, $9.253 million credit facilities, and $6.781 billion in accounts recievable to backstop the plan. </t>
        </r>
      </text>
    </comment>
    <comment ref="R10" authorId="0" shapeId="0">
      <text>
        <r>
          <rPr>
            <sz val="9"/>
            <color indexed="81"/>
            <rFont val="Tahoma"/>
            <family val="2"/>
          </rPr>
          <t>6720471 is relying on Nottingham midstreams insurance and parental guaranee as well as cash on hand to satisfy its ALL.</t>
        </r>
      </text>
    </comment>
    <comment ref="R11" authorId="0" shapeId="0">
      <text>
        <r>
          <rPr>
            <sz val="9"/>
            <color indexed="81"/>
            <rFont val="Tahoma"/>
            <family val="2"/>
          </rPr>
          <t>AltaGas Holdings iproposes to use a parental guarantee and surety bond to meet its ALL.</t>
        </r>
      </text>
    </comment>
    <comment ref="P12" authorId="0" shapeId="0">
      <text>
        <r>
          <rPr>
            <b/>
            <sz val="9"/>
            <color indexed="81"/>
            <rFont val="Tahoma"/>
            <family val="2"/>
          </rPr>
          <t>Donovan Pederson:</t>
        </r>
        <r>
          <rPr>
            <sz val="9"/>
            <color indexed="81"/>
            <rFont val="Tahoma"/>
            <family val="2"/>
          </rPr>
          <t xml:space="preserve">
Overdraft</t>
        </r>
      </text>
    </comment>
    <comment ref="R13" authorId="0" shapeId="0">
      <text>
        <r>
          <rPr>
            <sz val="9"/>
            <color indexed="81"/>
            <rFont val="Tahoma"/>
            <family val="2"/>
          </rPr>
          <t>Aurora proposes to use a parental guarantee in the amount of its ALL to meet its financial resource requirements. Plains Midstream ULC demonstrates sufficient financial resources to fund the parental guarantee.</t>
        </r>
      </text>
    </comment>
    <comment ref="R14" authorId="0" shapeId="0">
      <text>
        <r>
          <rPr>
            <b/>
            <sz val="9"/>
            <color indexed="81"/>
            <rFont val="Tahoma"/>
            <family val="2"/>
          </rPr>
          <t>Donovan Pederson:</t>
        </r>
        <r>
          <rPr>
            <sz val="9"/>
            <color indexed="81"/>
            <rFont val="Tahoma"/>
            <family val="2"/>
          </rPr>
          <t xml:space="preserve">
Confidential filing</t>
        </r>
      </text>
    </comment>
    <comment ref="R15" authorId="0" shapeId="0">
      <text>
        <r>
          <rPr>
            <b/>
            <sz val="9"/>
            <color indexed="81"/>
            <rFont val="Tahoma"/>
            <family val="2"/>
          </rPr>
          <t>Donovan Pederson:</t>
        </r>
        <r>
          <rPr>
            <sz val="9"/>
            <color indexed="81"/>
            <rFont val="Tahoma"/>
            <family val="2"/>
          </rPr>
          <t xml:space="preserve">
Caltex is using $118.969 million in undrawn lines of credit and insurance coverage to meet its ALL.</t>
        </r>
      </text>
    </comment>
    <comment ref="P16" authorId="0" shapeId="0">
      <text>
        <r>
          <rPr>
            <b/>
            <sz val="9"/>
            <color indexed="81"/>
            <rFont val="Tahoma"/>
            <family val="2"/>
          </rPr>
          <t>Donovan Pederson:</t>
        </r>
        <r>
          <rPr>
            <sz val="9"/>
            <color indexed="81"/>
            <rFont val="Tahoma"/>
            <family val="2"/>
          </rPr>
          <t xml:space="preserve">
CBSA is a federal government agency; as such it underwrites its own risks.</t>
        </r>
      </text>
    </comment>
    <comment ref="R16" authorId="0" shapeId="0">
      <text>
        <r>
          <rPr>
            <b/>
            <sz val="9"/>
            <color indexed="81"/>
            <rFont val="Tahoma"/>
            <family val="2"/>
          </rPr>
          <t>Donovan Pederson:</t>
        </r>
        <r>
          <rPr>
            <sz val="9"/>
            <color indexed="81"/>
            <rFont val="Tahoma"/>
            <family val="2"/>
          </rPr>
          <t xml:space="preserve">
CBSA is a federal government agency; as such it underwrites its own risk.</t>
        </r>
      </text>
    </comment>
    <comment ref="R17" authorId="0" shapeId="0">
      <text>
        <r>
          <rPr>
            <sz val="9"/>
            <color indexed="81"/>
            <rFont val="Tahoma"/>
            <family val="2"/>
          </rPr>
          <t>CNRL is using a combination of cash and undrawn lines of credit to meet its ALL requirements.</t>
        </r>
      </text>
    </comment>
    <comment ref="O18" authorId="0" shapeId="0">
      <text>
        <r>
          <rPr>
            <b/>
            <sz val="9"/>
            <color indexed="81"/>
            <rFont val="Tahoma"/>
            <family val="2"/>
          </rPr>
          <t>Donovan Pederson:</t>
        </r>
        <r>
          <rPr>
            <sz val="9"/>
            <color indexed="81"/>
            <rFont val="Tahoma"/>
            <family val="2"/>
          </rPr>
          <t xml:space="preserve">
Indemnity agreement from NorthWestern Corp. to CMPL</t>
        </r>
      </text>
    </comment>
    <comment ref="R18" authorId="0" shapeId="0">
      <text>
        <r>
          <rPr>
            <sz val="9"/>
            <color indexed="81"/>
            <rFont val="Tahoma"/>
            <family val="2"/>
          </rPr>
          <t xml:space="preserve">CMPL proposes to use insurance and an indemnity agreement to meet its ALL. </t>
        </r>
      </text>
    </comment>
    <comment ref="R20" authorId="0" shapeId="0">
      <text>
        <r>
          <rPr>
            <b/>
            <sz val="9"/>
            <color indexed="81"/>
            <rFont val="Tahoma"/>
            <family val="2"/>
          </rPr>
          <t>Donovan Pederson:</t>
        </r>
        <r>
          <rPr>
            <sz val="9"/>
            <color indexed="81"/>
            <rFont val="Tahoma"/>
            <family val="2"/>
          </rPr>
          <t xml:space="preserve">
Alliance is using a combination of cash, letters of credit, and a line of credit to fiulfill its readily accessible resource obligation. Alliance also has $100 million insurance coverage.</t>
        </r>
      </text>
    </comment>
    <comment ref="R21" authorId="0" shapeId="0">
      <text>
        <r>
          <rPr>
            <b/>
            <sz val="9"/>
            <color indexed="81"/>
            <rFont val="Tahoma"/>
            <family val="2"/>
          </rPr>
          <t>Donovan Pederson:</t>
        </r>
        <r>
          <rPr>
            <sz val="9"/>
            <color indexed="81"/>
            <rFont val="Tahoma"/>
            <family val="2"/>
          </rPr>
          <t xml:space="preserve">
Centra is relying on a combination of cash, insurance, and a letter of credit to meet its ALL. 
</t>
        </r>
      </text>
    </comment>
    <comment ref="R22" authorId="0" shapeId="0">
      <text>
        <r>
          <rPr>
            <sz val="9"/>
            <color indexed="81"/>
            <rFont val="Tahoma"/>
            <family val="2"/>
          </rPr>
          <t>Champion Pipe Line is using a combination of a $12.5 million line of credit and $50 million insurance to satisfy its ALL.</t>
        </r>
      </text>
    </comment>
    <comment ref="R23" authorId="0" shapeId="0">
      <text>
        <r>
          <rPr>
            <b/>
            <sz val="9"/>
            <color indexed="81"/>
            <rFont val="Tahoma"/>
            <family val="2"/>
          </rPr>
          <t>Donovan Pederson:</t>
        </r>
        <r>
          <rPr>
            <sz val="9"/>
            <color indexed="81"/>
            <rFont val="Tahoma"/>
            <family val="2"/>
          </rPr>
          <t xml:space="preserve">
Chief Mountain's proposed financial resources of cash and insurance do not meet its ALL.</t>
        </r>
      </text>
    </comment>
    <comment ref="R26" authorId="0" shapeId="0">
      <text>
        <r>
          <rPr>
            <b/>
            <sz val="9"/>
            <color indexed="81"/>
            <rFont val="Tahoma"/>
            <family val="2"/>
          </rPr>
          <t>Donovan Pederson:</t>
        </r>
        <r>
          <rPr>
            <sz val="9"/>
            <color indexed="81"/>
            <rFont val="Tahoma"/>
            <family val="2"/>
          </rPr>
          <t xml:space="preserve">
Crescent Point proposes to use a combination of cash, credit facilities, and insurance to meet its ALL. </t>
        </r>
      </text>
    </comment>
    <comment ref="R27" authorId="0" shapeId="0">
      <text>
        <r>
          <rPr>
            <sz val="9"/>
            <color indexed="81"/>
            <rFont val="Tahoma"/>
            <family val="2"/>
          </rPr>
          <t>Emera proposes to use a combination of cash and insurance to meet its ALL</t>
        </r>
      </text>
    </comment>
    <comment ref="H28" authorId="0" shapeId="0">
      <text>
        <r>
          <rPr>
            <b/>
            <sz val="9"/>
            <color indexed="81"/>
            <rFont val="Tahoma"/>
            <family val="2"/>
          </rPr>
          <t>Donovan Pederson:</t>
        </r>
        <r>
          <rPr>
            <sz val="9"/>
            <color indexed="81"/>
            <rFont val="Tahoma"/>
            <family val="2"/>
          </rPr>
          <t xml:space="preserve">
Intercompany revolving credit facility provided by Enbridge Inc. </t>
        </r>
      </text>
    </comment>
    <comment ref="P28" authorId="0" shapeId="0">
      <text>
        <r>
          <rPr>
            <b/>
            <sz val="9"/>
            <color indexed="81"/>
            <rFont val="Tahoma"/>
            <family val="2"/>
          </rPr>
          <t>Donovan Pederson:</t>
        </r>
        <r>
          <rPr>
            <sz val="9"/>
            <color indexed="81"/>
            <rFont val="Tahoma"/>
            <family val="2"/>
          </rPr>
          <t xml:space="preserve">
accounts recievable</t>
        </r>
      </text>
    </comment>
    <comment ref="R28" authorId="0" shapeId="0">
      <text>
        <r>
          <rPr>
            <sz val="9"/>
            <color indexed="81"/>
            <rFont val="Tahoma"/>
            <family val="2"/>
          </rPr>
          <t>Enbridge Bakken is an Enbridge subsidiary. It proposes to use a combination of cash, credit facilities, accounts recievable, and insurance to meet its ALL. Its parent Enbridge Inc. has in aggregate $648 million cash, $9.253 million credit facilities, and $6.781 billion in accounts recievable to backstop the plan.</t>
        </r>
      </text>
    </comment>
    <comment ref="R29" authorId="0" shapeId="0">
      <text>
        <r>
          <rPr>
            <sz val="9"/>
            <color indexed="81"/>
            <rFont val="Tahoma"/>
            <family val="2"/>
          </rPr>
          <t>Enbridge Gas is using a combination of cash, credit facility and insurance to satisfy its ALL. Additionally, the company has over $1 billion in other financial resources, such as accounts recievable, that has been proposed in its FR plan.</t>
        </r>
      </text>
    </comment>
    <comment ref="H31" authorId="0" shapeId="0">
      <text>
        <r>
          <rPr>
            <b/>
            <sz val="9"/>
            <color indexed="81"/>
            <rFont val="Tahoma"/>
            <family val="2"/>
          </rPr>
          <t>Donovan Pederson:</t>
        </r>
        <r>
          <rPr>
            <sz val="9"/>
            <color indexed="81"/>
            <rFont val="Tahoma"/>
            <family val="2"/>
          </rPr>
          <t xml:space="preserve">
Intercompany revolving credit facility provided by Enbridge Inc. </t>
        </r>
      </text>
    </comment>
    <comment ref="P31" authorId="0" shapeId="0">
      <text>
        <r>
          <rPr>
            <b/>
            <sz val="9"/>
            <color indexed="81"/>
            <rFont val="Tahoma"/>
            <family val="2"/>
          </rPr>
          <t>Donovan Pederson:</t>
        </r>
        <r>
          <rPr>
            <sz val="9"/>
            <color indexed="81"/>
            <rFont val="Tahoma"/>
            <family val="2"/>
          </rPr>
          <t xml:space="preserve">
accounts recievable</t>
        </r>
      </text>
    </comment>
    <comment ref="R31" authorId="0" shapeId="0">
      <text>
        <r>
          <rPr>
            <sz val="9"/>
            <color indexed="81"/>
            <rFont val="Tahoma"/>
            <family val="2"/>
          </rPr>
          <t xml:space="preserve">Enbridge Southern Lights is an Enbridge subsidiary. It proposes to use a combination of cash, credit facilities, accounts recievable, and insurance to meet its ALL. Its parent Enbridge Inc. has in aggregate $648 million cash, $9.253 million credit facilities, and $6.781 billion in accounts recievable to backstop the plan. </t>
        </r>
      </text>
    </comment>
    <comment ref="R32" authorId="0" shapeId="0">
      <text>
        <r>
          <rPr>
            <sz val="9"/>
            <color indexed="81"/>
            <rFont val="Tahoma"/>
            <family val="2"/>
          </rPr>
          <t>Enercapita proposes to use a combination of lines of credit and insurance to meet its ALL.</t>
        </r>
      </text>
    </comment>
    <comment ref="H33" authorId="0" shapeId="0">
      <text>
        <r>
          <rPr>
            <b/>
            <sz val="9"/>
            <color indexed="81"/>
            <rFont val="Tahoma"/>
            <family val="2"/>
          </rPr>
          <t>Donovan Pederson:</t>
        </r>
        <r>
          <rPr>
            <sz val="9"/>
            <color indexed="81"/>
            <rFont val="Tahoma"/>
            <family val="2"/>
          </rPr>
          <t xml:space="preserve">
Intercompany revolving credit facility provided by Spectra Energy Partners LP</t>
        </r>
      </text>
    </comment>
    <comment ref="P33" authorId="0" shapeId="0">
      <text>
        <r>
          <rPr>
            <b/>
            <sz val="9"/>
            <color indexed="81"/>
            <rFont val="Tahoma"/>
            <family val="2"/>
          </rPr>
          <t>Donovan Pederson:</t>
        </r>
        <r>
          <rPr>
            <sz val="9"/>
            <color indexed="81"/>
            <rFont val="Tahoma"/>
            <family val="2"/>
          </rPr>
          <t xml:space="preserve">
accounts recievable</t>
        </r>
      </text>
    </comment>
    <comment ref="R33" authorId="0" shapeId="0">
      <text>
        <r>
          <rPr>
            <sz val="9"/>
            <color indexed="81"/>
            <rFont val="Tahoma"/>
            <family val="2"/>
          </rPr>
          <t xml:space="preserve">Express proposes to use a combination of cash, credit facilities, accounts recievable, and insurance to meet its ALL. </t>
        </r>
      </text>
    </comment>
    <comment ref="R35" authorId="0" shapeId="0">
      <text>
        <r>
          <rPr>
            <sz val="9"/>
            <color indexed="81"/>
            <rFont val="Tahoma"/>
            <family val="2"/>
          </rPr>
          <t>HIPCO proposes to use insurance in an amount greater than its ALL to meet its financial resource requirements. HIPCO does not have any financial resources in the authorization holder column of Table 1. The plan includes HIPCOs parent, FHIs, cash and lines of credit.</t>
        </r>
      </text>
    </comment>
    <comment ref="R37" authorId="0" shapeId="0">
      <text>
        <r>
          <rPr>
            <sz val="9"/>
            <color indexed="81"/>
            <rFont val="Tahoma"/>
            <family val="2"/>
          </rPr>
          <t xml:space="preserve">Genesis is a Nova Chemicals subsidiary. It proposes to use a combination of cash, credit facilities, and insurance to meet its ALL. Genesis filed portions of its plan confidentially under s60. </t>
        </r>
      </text>
    </comment>
    <comment ref="R38" authorId="0" shapeId="0">
      <text>
        <r>
          <rPr>
            <sz val="9"/>
            <color indexed="81"/>
            <rFont val="Tahoma"/>
            <family val="2"/>
          </rPr>
          <t>Glenogle proposes to use lines of credit and insurance to meet its ALL; however, its finanical resources fall below its ALL.</t>
        </r>
      </text>
    </comment>
    <comment ref="R39" authorId="0" shapeId="0">
      <text>
        <r>
          <rPr>
            <sz val="9"/>
            <color indexed="81"/>
            <rFont val="Tahoma"/>
            <family val="2"/>
          </rPr>
          <t xml:space="preserve">Great Lakes is a TCPL subsidiary and is relying on an indemnity aggreeement with its parent and insurance to meet its ALL. TCPL included the amounts of its cash, lines of credit, and commercial paper in Table 1. of the plan.
</t>
        </r>
      </text>
    </comment>
    <comment ref="H40" authorId="0" shapeId="0">
      <text>
        <r>
          <rPr>
            <b/>
            <sz val="9"/>
            <color indexed="81"/>
            <rFont val="Tahoma"/>
            <family val="2"/>
          </rPr>
          <t>Donovan Pederson:</t>
        </r>
        <r>
          <rPr>
            <sz val="9"/>
            <color indexed="81"/>
            <rFont val="Tahoma"/>
            <family val="2"/>
          </rPr>
          <t xml:space="preserve">
Intercompany revolving credit facility provided by Enbridge Inc. </t>
        </r>
      </text>
    </comment>
    <comment ref="P40" authorId="0" shapeId="0">
      <text>
        <r>
          <rPr>
            <b/>
            <sz val="9"/>
            <color indexed="81"/>
            <rFont val="Tahoma"/>
            <family val="2"/>
          </rPr>
          <t>Donovan Pederson:</t>
        </r>
        <r>
          <rPr>
            <sz val="9"/>
            <color indexed="81"/>
            <rFont val="Tahoma"/>
            <family val="2"/>
          </rPr>
          <t xml:space="preserve">
accounts recievable</t>
        </r>
      </text>
    </comment>
    <comment ref="R40" authorId="0" shapeId="0">
      <text>
        <r>
          <rPr>
            <sz val="9"/>
            <color indexed="81"/>
            <rFont val="Tahoma"/>
            <family val="2"/>
          </rPr>
          <t xml:space="preserve">Enbridge (NW)  is an Enbridge subsidiary. It proposes to use a combination of cash, credit facilities, aacounts recievable, and insurance to meet its ALL. Its parent Enbridge Inc. has in aggregate $648 million cash, $9.253 million credit facilities, and $6.781 billion in accounts recievable to backstop the plan. </t>
        </r>
      </text>
    </comment>
    <comment ref="R41" authorId="0" shapeId="0">
      <text>
        <r>
          <rPr>
            <sz val="9"/>
            <color indexed="81"/>
            <rFont val="Tahoma"/>
            <family val="2"/>
          </rPr>
          <t>Enbridge proposes to use cash, credit facilities, insurance and other financial resources (i.e. accounts receiveable) to meet its ALL of $1B.</t>
        </r>
      </text>
    </comment>
    <comment ref="R42" authorId="0" shapeId="0">
      <text>
        <r>
          <rPr>
            <sz val="9"/>
            <color indexed="81"/>
            <rFont val="Tahoma"/>
            <family val="2"/>
          </rPr>
          <t>HOOL is relying on its parent, HEIs financial resources. To meet its ALL, it proposes to use a combination of cash, lines of credit  and a letter of credit.</t>
        </r>
      </text>
    </comment>
    <comment ref="R43" authorId="0" shapeId="0">
      <text>
        <r>
          <rPr>
            <b/>
            <sz val="9"/>
            <color indexed="81"/>
            <rFont val="Tahoma"/>
            <family val="2"/>
          </rPr>
          <t>Donovan Pederson:</t>
        </r>
        <r>
          <rPr>
            <sz val="9"/>
            <color indexed="81"/>
            <rFont val="Tahoma"/>
            <family val="2"/>
          </rPr>
          <t xml:space="preserve">
ISH proposes to use a letter of credit and insurance to meet its ALL.</t>
        </r>
      </text>
    </comment>
    <comment ref="R44" authorId="0" shapeId="0">
      <text>
        <r>
          <rPr>
            <sz val="9"/>
            <color indexed="81"/>
            <rFont val="Tahoma"/>
            <family val="2"/>
          </rPr>
          <t xml:space="preserve">KM Utopia proposes to use cash, lines of credit, and insurance to meet its ALL. </t>
        </r>
      </text>
    </comment>
    <comment ref="R46" authorId="0" shapeId="0">
      <text>
        <r>
          <rPr>
            <sz val="9"/>
            <color indexed="81"/>
            <rFont val="Tahoma"/>
            <family val="2"/>
          </rPr>
          <t>Foothills proposes to use a combination of an indemnity agreement and insurance to meet its ALL. Its parent, TCPL, demonstrates sufficient financial resources to backstop Foothills FR Plan.</t>
        </r>
      </text>
    </comment>
    <comment ref="R50" authorId="0" shapeId="0">
      <text>
        <r>
          <rPr>
            <sz val="9"/>
            <color indexed="81"/>
            <rFont val="Tahoma"/>
            <family val="2"/>
          </rPr>
          <t>Kingston Westpur is a subsidiary to Kingston Midstream. It is relying on the financial resources of its parent. It proposes to use a combination of cash, lines of credit, insurance and a revolving credit facility to meet its ALL.</t>
        </r>
      </text>
    </comment>
    <comment ref="R51" authorId="0" shapeId="0">
      <text>
        <r>
          <rPr>
            <sz val="9"/>
            <color indexed="81"/>
            <rFont val="Tahoma"/>
            <family val="2"/>
          </rPr>
          <t xml:space="preserve">LBX proposes to use a parental guarantee, cash, and insurance ot meet its ALL. </t>
        </r>
      </text>
    </comment>
    <comment ref="R52" authorId="0" shapeId="0">
      <text>
        <r>
          <rPr>
            <sz val="9"/>
            <color indexed="81"/>
            <rFont val="Tahoma"/>
            <family val="2"/>
          </rPr>
          <t>Many Island PL proposes to use a combination of insurance and a parental guarantee to meet its ALL.</t>
        </r>
      </text>
    </comment>
    <comment ref="R53" authorId="0" shapeId="0">
      <text>
        <r>
          <rPr>
            <sz val="9"/>
            <color indexed="81"/>
            <rFont val="Tahoma"/>
            <family val="2"/>
          </rPr>
          <t>Minell is relying on a parental guarantee to meet its ALL.</t>
        </r>
      </text>
    </comment>
    <comment ref="R54" authorId="0" shapeId="0">
      <text>
        <r>
          <rPr>
            <sz val="9"/>
            <color indexed="81"/>
            <rFont val="Tahoma"/>
            <family val="2"/>
          </rPr>
          <t>MPL is relying on cash, insurance and a line of credit to meet its ALL</t>
        </r>
      </text>
    </comment>
    <comment ref="R55" authorId="0" shapeId="0">
      <text>
        <r>
          <rPr>
            <sz val="9"/>
            <color indexed="81"/>
            <rFont val="Tahoma"/>
            <family val="2"/>
          </rPr>
          <t xml:space="preserve">Niagra  is an Enbridge subsidiary. It proposes to use a combination of cash, credit facilities, and insurance to meet its ALL. Its parent Enbridge Inc. has in aggregate $648 million cash, $9.253 million credit facilities, and $6.781 billion in accounts recievable to backstop the plan. </t>
        </r>
      </text>
    </comment>
    <comment ref="R56" authorId="0" shapeId="0">
      <text>
        <r>
          <rPr>
            <sz val="9"/>
            <color indexed="81"/>
            <rFont val="Tahoma"/>
            <family val="2"/>
          </rPr>
          <t>NorthRiver LP Proposes to rely on lines of credit and insurance to satisfy its ALL</t>
        </r>
      </text>
    </comment>
    <comment ref="R59" authorId="0" shapeId="0">
      <text>
        <r>
          <rPr>
            <sz val="9"/>
            <color indexed="81"/>
            <rFont val="Tahoma"/>
            <family val="2"/>
          </rPr>
          <t>NorthRiver G&amp;P proposes to rely on lines of credit and insurance to satisfy its ALL</t>
        </r>
      </text>
    </comment>
    <comment ref="O60" authorId="0" shapeId="0">
      <text>
        <r>
          <rPr>
            <b/>
            <sz val="9"/>
            <color indexed="81"/>
            <rFont val="Tahoma"/>
            <family val="2"/>
          </rPr>
          <t>Donovan Pederson:</t>
        </r>
        <r>
          <rPr>
            <sz val="9"/>
            <color indexed="81"/>
            <rFont val="Tahoma"/>
            <family val="2"/>
          </rPr>
          <t xml:space="preserve">
$9.55 million and $12.795 million indemnity agreements with Exxon and Emera, respectively.</t>
        </r>
      </text>
    </comment>
    <comment ref="R60" authorId="0" shapeId="0">
      <text>
        <r>
          <rPr>
            <b/>
            <sz val="9"/>
            <color indexed="81"/>
            <rFont val="Tahoma"/>
            <family val="2"/>
          </rPr>
          <t>Donovan Pederson:</t>
        </r>
        <r>
          <rPr>
            <sz val="9"/>
            <color indexed="81"/>
            <rFont val="Tahoma"/>
            <family val="2"/>
          </rPr>
          <t xml:space="preserve">
Maritimes proposes to use a combination of cash, credit facilities, insurance, and indemnity agreements from its parents to meet its ALL. </t>
        </r>
      </text>
    </comment>
    <comment ref="R61" authorId="0" shapeId="0">
      <text>
        <r>
          <rPr>
            <b/>
            <sz val="9"/>
            <color indexed="81"/>
            <rFont val="Tahoma"/>
            <family val="2"/>
          </rPr>
          <t>Donovan Pederson:</t>
        </r>
        <r>
          <rPr>
            <sz val="9"/>
            <color indexed="81"/>
            <rFont val="Tahoma"/>
            <family val="2"/>
          </rPr>
          <t xml:space="preserve">
Obsidian proposes to use a combination of cash and lines of credit to meet its ALL.</t>
        </r>
      </text>
    </comment>
    <comment ref="R63" authorId="0" shapeId="0">
      <text>
        <r>
          <rPr>
            <sz val="9"/>
            <color indexed="81"/>
            <rFont val="Tahoma"/>
            <family val="2"/>
          </rPr>
          <t>Ovintiv proposes to use a combination of cash and lines of credit to meet its ALL.</t>
        </r>
      </text>
    </comment>
    <comment ref="R64" authorId="0" shapeId="0">
      <text>
        <r>
          <rPr>
            <sz val="9"/>
            <color indexed="81"/>
            <rFont val="Tahoma"/>
            <family val="2"/>
          </rPr>
          <t xml:space="preserve">NGTL proposes to use an indemnity agreement with its parent TCPL, and insurance to meet its ALL.  </t>
        </r>
      </text>
    </comment>
    <comment ref="R65" authorId="0" shapeId="0">
      <text>
        <r>
          <rPr>
            <sz val="9"/>
            <color indexed="81"/>
            <rFont val="Tahoma"/>
            <family val="2"/>
          </rPr>
          <t xml:space="preserve">Pemnina Energy proposes to use a parentla guarantee in the amount of the ALL and insurance to meet its financial resource requirements. Table 1. of the FR Plan shows that its parent, Pembina, has over $1 billion in short term financial resources includin cash and lines of credit. </t>
        </r>
      </text>
    </comment>
    <comment ref="R66" authorId="0" shapeId="0">
      <text>
        <r>
          <rPr>
            <sz val="9"/>
            <color indexed="81"/>
            <rFont val="Tahoma"/>
            <family val="2"/>
          </rPr>
          <t xml:space="preserve">Pemnina Prairie proposes to use a parental guarantee in the amount of the ALL and insurance to meet its financial resource requirements. Table 1. of the FR Plan shows that its parent, Pembina, has over $1 billion in short term financial resources including cash and lines of credit. </t>
        </r>
      </text>
    </comment>
    <comment ref="R67" authorId="0" shapeId="0">
      <text>
        <r>
          <rPr>
            <b/>
            <sz val="9"/>
            <color indexed="81"/>
            <rFont val="Tahoma"/>
            <family val="2"/>
          </rPr>
          <t>Donovan Pederson:</t>
        </r>
        <r>
          <rPr>
            <sz val="9"/>
            <color indexed="81"/>
            <rFont val="Tahoma"/>
            <family val="2"/>
          </rPr>
          <t xml:space="preserve">
Confidential filing</t>
        </r>
      </text>
    </comment>
    <comment ref="R68" authorId="0" shapeId="0">
      <text>
        <r>
          <rPr>
            <b/>
            <sz val="9"/>
            <color indexed="81"/>
            <rFont val="Tahoma"/>
            <family val="2"/>
          </rPr>
          <t>Donovan Pederson:</t>
        </r>
        <r>
          <rPr>
            <sz val="9"/>
            <color indexed="81"/>
            <rFont val="Tahoma"/>
            <family val="2"/>
          </rPr>
          <t xml:space="preserve">
Pine Cliff proposes to use a combination of cash and insurance to meet its ALL.</t>
        </r>
      </text>
    </comment>
    <comment ref="P69" authorId="0" shapeId="0">
      <text>
        <r>
          <rPr>
            <b/>
            <sz val="9"/>
            <color indexed="81"/>
            <rFont val="Tahoma"/>
            <family val="2"/>
          </rPr>
          <t>Donovan Pederson:</t>
        </r>
        <r>
          <rPr>
            <sz val="9"/>
            <color indexed="81"/>
            <rFont val="Tahoma"/>
            <family val="2"/>
          </rPr>
          <t xml:space="preserve">
Several billion in capital markets for debt and for equity.</t>
        </r>
      </text>
    </comment>
    <comment ref="R69" authorId="0" shapeId="0">
      <text>
        <r>
          <rPr>
            <sz val="9"/>
            <color indexed="81"/>
            <rFont val="Tahoma"/>
            <family val="2"/>
          </rPr>
          <t>Plains has access to substantial amounts of its own, and of its parent's, financial resources. It proposes to use cash, credit facilities, commercial paper, and public capital markets for its debt and equity securities to meet its ALL</t>
        </r>
      </text>
    </comment>
    <comment ref="R70" authorId="0" shapeId="0">
      <text>
        <r>
          <rPr>
            <sz val="9"/>
            <color indexed="81"/>
            <rFont val="Tahoma"/>
            <family val="2"/>
          </rPr>
          <t xml:space="preserve">Pouce Coupe proposes to use a parental guarantee in the amount of the ALL and insurance to meet its financial resource requirements. Table 1. of the FR Plan shows that its parent, Pembina, has over $1 billion in short term financial resources including cash and lines of credit. </t>
        </r>
      </text>
    </comment>
    <comment ref="C72" authorId="0" shapeId="0">
      <text>
        <r>
          <rPr>
            <b/>
            <sz val="9"/>
            <color indexed="81"/>
            <rFont val="Tahoma"/>
            <family val="2"/>
          </rPr>
          <t>Donovan Pederson:</t>
        </r>
        <r>
          <rPr>
            <sz val="9"/>
            <color indexed="81"/>
            <rFont val="Tahoma"/>
            <family val="2"/>
          </rPr>
          <t xml:space="preserve">
Formerly Kinder Morgan Cochin</t>
        </r>
      </text>
    </comment>
    <comment ref="R72" authorId="0" shapeId="0">
      <text>
        <r>
          <rPr>
            <sz val="9"/>
            <color indexed="81"/>
            <rFont val="Tahoma"/>
            <family val="2"/>
          </rPr>
          <t xml:space="preserve">PKM Cochin proposes to use a parental guarantee in the amount of the ALL and insurance to meet its financial resource requirements. Table 1. of the FR Plan shows that its parent, Pembina, has over $1 billion in short term financial resources including cash and lines of credit. </t>
        </r>
      </text>
    </comment>
    <comment ref="R73" authorId="0" shapeId="0">
      <text>
        <r>
          <rPr>
            <b/>
            <sz val="9"/>
            <color indexed="81"/>
            <rFont val="Tahoma"/>
            <family val="2"/>
          </rPr>
          <t>Donovan Pederson:</t>
        </r>
        <r>
          <rPr>
            <sz val="9"/>
            <color indexed="81"/>
            <rFont val="Tahoma"/>
            <family val="2"/>
          </rPr>
          <t xml:space="preserve">
Resolute is a commidities pipeline and proposes to use cash to meet its ALL.</t>
        </r>
      </text>
    </comment>
    <comment ref="D74" authorId="1" shapeId="0">
      <text>
        <r>
          <rPr>
            <b/>
            <sz val="9"/>
            <color indexed="81"/>
            <rFont val="Tahoma"/>
            <family val="2"/>
          </rPr>
          <t>Susan Baker:</t>
        </r>
        <r>
          <rPr>
            <sz val="9"/>
            <color indexed="81"/>
            <rFont val="Tahoma"/>
            <family val="2"/>
          </rPr>
          <t xml:space="preserve">
Many Islands filed the ALL but in that letter, Many Islands states that Portal is responsible for its own filings,</t>
        </r>
      </text>
    </comment>
    <comment ref="R75" authorId="0" shapeId="0">
      <text>
        <r>
          <rPr>
            <sz val="9"/>
            <color indexed="81"/>
            <rFont val="Tahoma"/>
            <family val="2"/>
          </rPr>
          <t>SCL is relying on its lines of credit and cash from its parent, Shell Canada, to meet its ALL</t>
        </r>
      </text>
    </comment>
    <comment ref="P76" authorId="0" shapeId="0">
      <text>
        <r>
          <rPr>
            <b/>
            <sz val="9"/>
            <color indexed="81"/>
            <rFont val="Tahoma"/>
            <family val="2"/>
          </rPr>
          <t>Donovan Pederson:</t>
        </r>
        <r>
          <rPr>
            <sz val="9"/>
            <color indexed="81"/>
            <rFont val="Tahoma"/>
            <family val="2"/>
          </rPr>
          <t xml:space="preserve">
short-term investments</t>
        </r>
      </text>
    </comment>
    <comment ref="R76" authorId="0" shapeId="0">
      <text>
        <r>
          <rPr>
            <b/>
            <sz val="9"/>
            <color indexed="81"/>
            <rFont val="Tahoma"/>
            <family val="2"/>
          </rPr>
          <t>Donovan Pederson:</t>
        </r>
        <r>
          <rPr>
            <sz val="9"/>
            <color indexed="81"/>
            <rFont val="Tahoma"/>
            <family val="2"/>
          </rPr>
          <t xml:space="preserve">
Souris Valley proposes to use a combination of cash, short-term investments, and insurance to meet its ALL.</t>
        </r>
      </text>
    </comment>
    <comment ref="R77" authorId="0" shapeId="0">
      <text>
        <r>
          <rPr>
            <sz val="9"/>
            <color indexed="81"/>
            <rFont val="Tahoma"/>
            <family val="2"/>
          </rPr>
          <t xml:space="preserve">St. Clair is an Enbridge subsidiary. It proposes to use a combination of cash, credit facilities, and insurance to meet its ALL. Its parent Enbridge Inc. has in aggregate $648 million cash, $9.253 million credit facilities, and $6.781 billion in accounts recievable to backstop the plan. </t>
        </r>
      </text>
    </comment>
    <comment ref="R79" authorId="0" shapeId="0">
      <text>
        <r>
          <rPr>
            <b/>
            <sz val="9"/>
            <color indexed="81"/>
            <rFont val="Tahoma"/>
            <family val="2"/>
          </rPr>
          <t>Donovan Pederson:</t>
        </r>
        <r>
          <rPr>
            <sz val="9"/>
            <color indexed="81"/>
            <rFont val="Tahoma"/>
            <family val="2"/>
          </rPr>
          <t xml:space="preserve">
Steel Reef proposes to use a combination of lines of credit and insurance to meet its ALL.</t>
        </r>
      </text>
    </comment>
    <comment ref="O80" authorId="0" shapeId="0">
      <text>
        <r>
          <rPr>
            <b/>
            <sz val="9"/>
            <color indexed="81"/>
            <rFont val="Tahoma"/>
            <family val="2"/>
          </rPr>
          <t>Donovan Pederson:</t>
        </r>
        <r>
          <rPr>
            <sz val="9"/>
            <color indexed="81"/>
            <rFont val="Tahoma"/>
            <family val="2"/>
          </rPr>
          <t xml:space="preserve">
Surety Bond</t>
        </r>
      </text>
    </comment>
    <comment ref="P80" authorId="0" shapeId="0">
      <text>
        <r>
          <rPr>
            <b/>
            <sz val="9"/>
            <color indexed="81"/>
            <rFont val="Tahoma"/>
            <family val="2"/>
          </rPr>
          <t>Donovan Pederson:</t>
        </r>
        <r>
          <rPr>
            <sz val="9"/>
            <color indexed="81"/>
            <rFont val="Tahoma"/>
            <family val="2"/>
          </rPr>
          <t xml:space="preserve">
Energy Transfer LP has various revolving lines of credit upon which Sunoco could draw.</t>
        </r>
      </text>
    </comment>
    <comment ref="R80" authorId="0" shapeId="0">
      <text>
        <r>
          <rPr>
            <sz val="9"/>
            <color indexed="81"/>
            <rFont val="Tahoma"/>
            <family val="2"/>
          </rPr>
          <t>Sunoco is relying on a letter of credit, insurance, and a surety bond to meet its ALL.</t>
        </r>
      </text>
    </comment>
    <comment ref="R81" authorId="0" shapeId="0">
      <text>
        <r>
          <rPr>
            <sz val="9"/>
            <color indexed="81"/>
            <rFont val="Tahoma"/>
            <family val="2"/>
          </rPr>
          <t>TAQA proposes to use a combination of cash and insurance to meet its ALL.</t>
        </r>
      </text>
    </comment>
    <comment ref="B83" authorId="1" shapeId="0">
      <text>
        <r>
          <rPr>
            <b/>
            <sz val="9"/>
            <color indexed="81"/>
            <rFont val="Tahoma"/>
            <family val="2"/>
          </rPr>
          <t>Susan Baker:</t>
        </r>
        <r>
          <rPr>
            <sz val="9"/>
            <color indexed="81"/>
            <rFont val="Tahoma"/>
            <family val="2"/>
          </rPr>
          <t xml:space="preserve">
Filed confidentially 116409</t>
        </r>
      </text>
    </comment>
    <comment ref="A84" authorId="0" shapeId="0">
      <text>
        <r>
          <rPr>
            <b/>
            <sz val="9"/>
            <color indexed="81"/>
            <rFont val="Tahoma"/>
            <family val="2"/>
          </rPr>
          <t>Donovan Pederson:</t>
        </r>
        <r>
          <rPr>
            <sz val="9"/>
            <color indexed="81"/>
            <rFont val="Tahoma"/>
            <family val="2"/>
          </rPr>
          <t xml:space="preserve">
Says it is abandoning; application filed 17 Aug 2020, C07925</t>
        </r>
      </text>
    </comment>
    <comment ref="G85" authorId="0" shapeId="0">
      <text>
        <r>
          <rPr>
            <b/>
            <sz val="9"/>
            <color indexed="81"/>
            <rFont val="Tahoma"/>
            <family val="2"/>
          </rPr>
          <t>Donovan Pederson:</t>
        </r>
        <r>
          <rPr>
            <sz val="9"/>
            <color indexed="81"/>
            <rFont val="Tahoma"/>
            <family val="2"/>
          </rPr>
          <t xml:space="preserve">
Intercompany credit agreements with Enbridge and DTE.</t>
        </r>
      </text>
    </comment>
    <comment ref="R85" authorId="0" shapeId="0">
      <text>
        <r>
          <rPr>
            <sz val="9"/>
            <color indexed="81"/>
            <rFont val="Tahoma"/>
            <family val="2"/>
          </rPr>
          <t>Vector proposes to use an intecompany credit agreement with Enbridge and DTE, and insurance to meet its ALL.</t>
        </r>
      </text>
    </comment>
    <comment ref="R87" authorId="0" shapeId="0">
      <text>
        <r>
          <rPr>
            <sz val="9"/>
            <color indexed="81"/>
            <rFont val="Tahoma"/>
            <family val="2"/>
          </rPr>
          <t>Trans Mountain proposes to use a combination of cash, lines of credit, and insurance to meet its $1 billion ALL.</t>
        </r>
      </text>
    </comment>
    <comment ref="R88" authorId="0" shapeId="0">
      <text>
        <r>
          <rPr>
            <sz val="9"/>
            <color indexed="81"/>
            <rFont val="Tahoma"/>
            <family val="2"/>
          </rPr>
          <t>TNPI proposes to use a combination of cash, lines of credit, and insurance to meet its ALL.</t>
        </r>
      </text>
    </comment>
    <comment ref="R89" authorId="0" shapeId="0">
      <text>
        <r>
          <rPr>
            <sz val="9"/>
            <color indexed="81"/>
            <rFont val="Tahoma"/>
            <family val="2"/>
          </rPr>
          <t>TQM is a TCPL subsidiary and proposes to use an indemnity agreement and insurance to satisfy its ALL. The financial resources of its parent  include cash, lines of credit, commercial paper, and an indemnity agreement.</t>
        </r>
      </text>
    </comment>
    <comment ref="R90" authorId="0" shapeId="0">
      <text>
        <r>
          <rPr>
            <sz val="9"/>
            <color indexed="81"/>
            <rFont val="Tahoma"/>
            <family val="2"/>
          </rPr>
          <t xml:space="preserve">Keystone proposes to use lines of credit and insurance to meet itsALL. In Table 1,  it lists the financial resources of its parent which include cash, lines of credit, and commercial paper. </t>
        </r>
      </text>
    </comment>
    <comment ref="R91" authorId="0" shapeId="0">
      <text>
        <r>
          <rPr>
            <sz val="9"/>
            <color indexed="81"/>
            <rFont val="Tahoma"/>
            <family val="2"/>
          </rPr>
          <t>TCPL proposes to use a combination of cash, lines of credit, insurance and commercial paper to meet its ALL</t>
        </r>
      </text>
    </comment>
    <comment ref="R93" authorId="0" shapeId="0">
      <text>
        <r>
          <rPr>
            <sz val="9"/>
            <color indexed="81"/>
            <rFont val="Tahoma"/>
            <family val="2"/>
          </rPr>
          <t>Veresen Energy proposes to use insurance and a parental guarantee to meet its ALL.  Its parent, Veresen Midstream's financial resources are redacted on the FR Plan due to confidential treatment.</t>
        </r>
      </text>
    </comment>
    <comment ref="R95" authorId="0" shapeId="0">
      <text>
        <r>
          <rPr>
            <sz val="9"/>
            <color indexed="81"/>
            <rFont val="Tahoma"/>
            <family val="2"/>
          </rPr>
          <t xml:space="preserve">Veresen Pipeline  proposes to use a parental guarantee in the amount of the ALL and insurance to meet its financial resource requirements. Table 1. of the FR Plan shows that its parent, Pembina, has over $1 billion in short term financial resources including cash and lines of credit. </t>
        </r>
      </text>
    </comment>
    <comment ref="G97" authorId="0" shapeId="0">
      <text>
        <r>
          <rPr>
            <b/>
            <sz val="9"/>
            <color indexed="81"/>
            <rFont val="Tahoma"/>
            <family val="2"/>
          </rPr>
          <t>Donovan Pederson:</t>
        </r>
        <r>
          <rPr>
            <sz val="9"/>
            <color indexed="81"/>
            <rFont val="Tahoma"/>
            <family val="2"/>
          </rPr>
          <t xml:space="preserve">
Intercompany credit agreement with Enbridge.</t>
        </r>
      </text>
    </comment>
    <comment ref="P97" authorId="0" shapeId="0">
      <text>
        <r>
          <rPr>
            <b/>
            <sz val="9"/>
            <color indexed="81"/>
            <rFont val="Tahoma"/>
            <family val="2"/>
          </rPr>
          <t>Donovan Pederson:</t>
        </r>
        <r>
          <rPr>
            <sz val="9"/>
            <color indexed="81"/>
            <rFont val="Tahoma"/>
            <family val="2"/>
          </rPr>
          <t xml:space="preserve">
Accounts recievable</t>
        </r>
      </text>
    </comment>
    <comment ref="R97" authorId="0" shapeId="0">
      <text>
        <r>
          <rPr>
            <sz val="9"/>
            <color indexed="81"/>
            <rFont val="Tahoma"/>
            <family val="2"/>
          </rPr>
          <t xml:space="preserve">Westcoast is  an Enbridge subsidiary. It proposes to use a combination of cash, credit facilities, accounts recievable, and insurance to meet its ALL. Its parent Enbridge Inc. has in aggregate $648 million cash, $9.253 million credit facilities, and $6.781 billion in accounts recievable to backstop the plan. </t>
        </r>
      </text>
    </comment>
    <comment ref="R98" authorId="0" shapeId="0">
      <text>
        <r>
          <rPr>
            <b/>
            <sz val="9"/>
            <color indexed="81"/>
            <rFont val="Tahoma"/>
            <family val="2"/>
          </rPr>
          <t>Donovan Pederson:</t>
        </r>
        <r>
          <rPr>
            <sz val="9"/>
            <color indexed="81"/>
            <rFont val="Tahoma"/>
            <family val="2"/>
          </rPr>
          <t xml:space="preserve">
Westover proposes to use a combination of cash, bank LC, and insurance to meet its ALL.</t>
        </r>
      </text>
    </comment>
    <comment ref="R99" authorId="0" shapeId="0">
      <text>
        <r>
          <rPr>
            <sz val="9"/>
            <color indexed="81"/>
            <rFont val="Tahoma"/>
            <family val="2"/>
          </rPr>
          <t>Whitecap is using a combination of lines of credit and insurance to meet its ALL.</t>
        </r>
      </text>
    </comment>
  </commentList>
</comments>
</file>

<file path=xl/comments2.xml><?xml version="1.0" encoding="utf-8"?>
<comments xmlns="http://schemas.openxmlformats.org/spreadsheetml/2006/main">
  <authors>
    <author>Donovan Pederson</author>
  </authors>
  <commentList>
    <comment ref="B5" authorId="0" shapeId="0">
      <text>
        <r>
          <rPr>
            <b/>
            <sz val="9"/>
            <color indexed="81"/>
            <rFont val="Tahoma"/>
            <family val="2"/>
          </rPr>
          <t>Donovan Pederson:</t>
        </r>
        <r>
          <rPr>
            <sz val="9"/>
            <color indexed="81"/>
            <rFont val="Tahoma"/>
            <family val="2"/>
          </rPr>
          <t xml:space="preserve">
Companies with deactivated or abandoned pipelines.</t>
        </r>
      </text>
    </comment>
    <comment ref="B7" authorId="0" shapeId="0">
      <text>
        <r>
          <rPr>
            <b/>
            <sz val="9"/>
            <color indexed="81"/>
            <rFont val="Tahoma"/>
            <family val="2"/>
          </rPr>
          <t>Donovan Pederson:</t>
        </r>
        <r>
          <rPr>
            <sz val="9"/>
            <color indexed="81"/>
            <rFont val="Tahoma"/>
            <family val="2"/>
          </rPr>
          <t xml:space="preserve">
All or a portion of the company's FR Plan has been treated confidentially or is under assessment.</t>
        </r>
      </text>
    </comment>
    <comment ref="B8" authorId="0" shapeId="0">
      <text>
        <r>
          <rPr>
            <b/>
            <sz val="9"/>
            <color indexed="81"/>
            <rFont val="Tahoma"/>
            <family val="2"/>
          </rPr>
          <t>Donovan Pederson:</t>
        </r>
        <r>
          <rPr>
            <sz val="9"/>
            <color indexed="81"/>
            <rFont val="Tahoma"/>
            <family val="2"/>
          </rPr>
          <t xml:space="preserve">
*includes companies with conditionally approved FR Plans and companies that have been ordered to (and have maintained) financial resources in the amount of their ALL.</t>
        </r>
      </text>
    </comment>
    <comment ref="H16" authorId="0" shapeId="0">
      <text>
        <r>
          <rPr>
            <b/>
            <sz val="9"/>
            <color indexed="81"/>
            <rFont val="Tahoma"/>
            <family val="2"/>
          </rPr>
          <t>Donovan Pederson:</t>
        </r>
        <r>
          <rPr>
            <sz val="9"/>
            <color indexed="81"/>
            <rFont val="Tahoma"/>
            <family val="2"/>
          </rPr>
          <t xml:space="preserve">
Represents companies with some reliance on parental resources. Whether it is a parental guarantee, indemnity agreement, intercompany credit agreement; the affiliate or subsidiary is using its parents' resources in someway.</t>
        </r>
      </text>
    </comment>
  </commentList>
</comments>
</file>

<file path=xl/comments3.xml><?xml version="1.0" encoding="utf-8"?>
<comments xmlns="http://schemas.openxmlformats.org/spreadsheetml/2006/main">
  <authors>
    <author>Donovan Pederson</author>
  </authors>
  <commentList>
    <comment ref="A13" authorId="0" shapeId="0">
      <text>
        <r>
          <rPr>
            <b/>
            <sz val="9"/>
            <color indexed="81"/>
            <rFont val="Tahoma"/>
            <family val="2"/>
          </rPr>
          <t>Donovan Pederson:</t>
        </r>
        <r>
          <rPr>
            <sz val="9"/>
            <color indexed="81"/>
            <rFont val="Tahoma"/>
            <family val="2"/>
          </rPr>
          <t xml:space="preserve">
Formerly Kinder Morgan Cochin</t>
        </r>
      </text>
    </comment>
  </commentList>
</comments>
</file>

<file path=xl/sharedStrings.xml><?xml version="1.0" encoding="utf-8"?>
<sst xmlns="http://schemas.openxmlformats.org/spreadsheetml/2006/main" count="1228" uniqueCount="346">
  <si>
    <t>Data - Financial Requirements for Transportation Report</t>
  </si>
  <si>
    <t>Composition of Financial Resources Plans</t>
  </si>
  <si>
    <t>Financial Resources Types - Authorization Holder Funds</t>
  </si>
  <si>
    <t>Company</t>
  </si>
  <si>
    <t xml:space="preserve">Filing </t>
  </si>
  <si>
    <t>Approved?</t>
  </si>
  <si>
    <t>ALL Class</t>
  </si>
  <si>
    <t>ALL Limit</t>
  </si>
  <si>
    <t>Cash</t>
  </si>
  <si>
    <t>Lines of Credit</t>
  </si>
  <si>
    <t>Credit Facility</t>
  </si>
  <si>
    <t>Insurance</t>
  </si>
  <si>
    <t>Letter of Credit</t>
  </si>
  <si>
    <t>Escrow</t>
  </si>
  <si>
    <t>Commercial Paper</t>
  </si>
  <si>
    <t>Pooled Fund</t>
  </si>
  <si>
    <t>Parental Guarantee</t>
  </si>
  <si>
    <t>Surety Bond  / Indemnity etc.</t>
  </si>
  <si>
    <t>Other financial resources</t>
  </si>
  <si>
    <t>Reliance on Parental Funds?</t>
  </si>
  <si>
    <t>Notes</t>
  </si>
  <si>
    <t>1057533 Alberta Ltd.</t>
  </si>
  <si>
    <t>C06975</t>
  </si>
  <si>
    <t>C</t>
  </si>
  <si>
    <t>Oil Class 3</t>
  </si>
  <si>
    <t>$200 million</t>
  </si>
  <si>
    <t>$31.8 million</t>
  </si>
  <si>
    <t>Y</t>
  </si>
  <si>
    <t xml:space="preserve"> </t>
  </si>
  <si>
    <t>N</t>
  </si>
  <si>
    <t>Gas Class 1</t>
  </si>
  <si>
    <t>2193914 Canada Limited</t>
  </si>
  <si>
    <t>C05952</t>
  </si>
  <si>
    <t>$1 million</t>
  </si>
  <si>
    <t>$940 million</t>
  </si>
  <si>
    <t>6720471 Canada Ltd.</t>
  </si>
  <si>
    <t>C06591</t>
  </si>
  <si>
    <t>Gas Class 4</t>
  </si>
  <si>
    <t>$10 million</t>
  </si>
  <si>
    <t>$250 thousand</t>
  </si>
  <si>
    <t>$20 million</t>
  </si>
  <si>
    <t>Alliance Pipeline Limited Partnership</t>
  </si>
  <si>
    <t>C06060</t>
  </si>
  <si>
    <t>$2.6 million</t>
  </si>
  <si>
    <t>$77.2 million</t>
  </si>
  <si>
    <t>$100 million</t>
  </si>
  <si>
    <t>$90 million</t>
  </si>
  <si>
    <t>AltaGas Holdings Inc.</t>
  </si>
  <si>
    <t>C06996</t>
  </si>
  <si>
    <t>Gas Class 2</t>
  </si>
  <si>
    <t>$50 million</t>
  </si>
  <si>
    <t>$1.875 million</t>
  </si>
  <si>
    <t xml:space="preserve">ARC Resources Ltd. </t>
  </si>
  <si>
    <t>C06752</t>
  </si>
  <si>
    <t>$8.5 million</t>
  </si>
  <si>
    <t>$860.7 million</t>
  </si>
  <si>
    <t>$1.893 million</t>
  </si>
  <si>
    <t>$40 million</t>
  </si>
  <si>
    <t>Aurora Pipeline Company Ltd.</t>
  </si>
  <si>
    <t>C06976</t>
  </si>
  <si>
    <t>Oil Class 2</t>
  </si>
  <si>
    <t>$300 million</t>
  </si>
  <si>
    <t>Gas Class 3</t>
  </si>
  <si>
    <t>Caltex Resources</t>
  </si>
  <si>
    <t>C05970</t>
  </si>
  <si>
    <t>$118.969 million</t>
  </si>
  <si>
    <t>Canada Border Services Agency</t>
  </si>
  <si>
    <t>A99969-1</t>
  </si>
  <si>
    <t>$10 Million</t>
  </si>
  <si>
    <t>Canadian Natural Resources Limited</t>
  </si>
  <si>
    <t>C05921</t>
  </si>
  <si>
    <t>$139 million</t>
  </si>
  <si>
    <t>$4737 million</t>
  </si>
  <si>
    <t>Canadian-Montana Pipe Line Corporation</t>
  </si>
  <si>
    <t>C07023</t>
  </si>
  <si>
    <t>$2.5 million</t>
  </si>
  <si>
    <t>Centra Transmission Holdings Inc.</t>
  </si>
  <si>
    <t>A99387</t>
  </si>
  <si>
    <t>Champion Pipe Line Corporation Limited</t>
  </si>
  <si>
    <t>C05857</t>
  </si>
  <si>
    <t xml:space="preserve"> $12.5 million</t>
  </si>
  <si>
    <t>Chief Mountain Gas Co-op</t>
  </si>
  <si>
    <t>C00858</t>
  </si>
  <si>
    <t xml:space="preserve">Crescent Point Energy Corp. </t>
  </si>
  <si>
    <t>$50 Million</t>
  </si>
  <si>
    <t xml:space="preserve">Emera Brunswick Pipeline Company Ltd. </t>
  </si>
  <si>
    <t>C07030</t>
  </si>
  <si>
    <t>$190 million</t>
  </si>
  <si>
    <t>Enbridge Bakken Pipeline Company Inc., on behalf of Enrbidge Bakken Pipeline Limited Partnership</t>
  </si>
  <si>
    <t>C05751</t>
  </si>
  <si>
    <t>Enbridge Gas Inc.</t>
  </si>
  <si>
    <t>C05953</t>
  </si>
  <si>
    <t>$77 million</t>
  </si>
  <si>
    <t>$1.102 billion</t>
  </si>
  <si>
    <t>$1.317 billion</t>
  </si>
  <si>
    <t xml:space="preserve">Enbridge Pipelines (NW) Inc. </t>
  </si>
  <si>
    <t>C05753</t>
  </si>
  <si>
    <t>$18 million</t>
  </si>
  <si>
    <t xml:space="preserve">Enbridge Pipelines Inc. </t>
  </si>
  <si>
    <t>C05181</t>
  </si>
  <si>
    <t>Oil Class 1</t>
  </si>
  <si>
    <t>$1 billion</t>
  </si>
  <si>
    <t>$600 million</t>
  </si>
  <si>
    <t>$9.3 billion</t>
  </si>
  <si>
    <t>$6.8 billion</t>
  </si>
  <si>
    <t>Enbridge Southern Lights GP Inc. on behalf of enbridge Southern Lights LP</t>
  </si>
  <si>
    <t>C05754</t>
  </si>
  <si>
    <t>$ 8 million</t>
  </si>
  <si>
    <t>$13 million</t>
  </si>
  <si>
    <t xml:space="preserve">Enercapita Energy Ltd. </t>
  </si>
  <si>
    <t>C07042</t>
  </si>
  <si>
    <t>$68.483 million</t>
  </si>
  <si>
    <t>$25 million</t>
  </si>
  <si>
    <t>Express Pipeline Ltd., as a General Partner of Express Pipeline Limited Partnership</t>
  </si>
  <si>
    <t>C05183</t>
  </si>
  <si>
    <t>O</t>
  </si>
  <si>
    <t>$500 million</t>
  </si>
  <si>
    <t xml:space="preserve">Foothills Pipe Lines Ltd. </t>
  </si>
  <si>
    <t>C05934</t>
  </si>
  <si>
    <t>&gt; $100 million</t>
  </si>
  <si>
    <t>FortisBC Huntingdon Inc.</t>
  </si>
  <si>
    <t>&gt; $200 million</t>
  </si>
  <si>
    <t>$21.6 million</t>
  </si>
  <si>
    <t>$1.3 billion</t>
  </si>
  <si>
    <t>Glenogle Energy Inc.</t>
  </si>
  <si>
    <t>C06998</t>
  </si>
  <si>
    <t>$1.5 million</t>
  </si>
  <si>
    <t>Great Lakes Pipeline Canada Ltd.</t>
  </si>
  <si>
    <t>C05935</t>
  </si>
  <si>
    <t>Husky Oil Operations Limited</t>
  </si>
  <si>
    <t>C06008</t>
  </si>
  <si>
    <t>$1.775 billion</t>
  </si>
  <si>
    <t>$3.45 billion</t>
  </si>
  <si>
    <t>$464 million</t>
  </si>
  <si>
    <t>ISH Energy Ltd.</t>
  </si>
  <si>
    <t>A98932</t>
  </si>
  <si>
    <t>Kinder Morgan Utopia Ltd.</t>
  </si>
  <si>
    <t>C07034</t>
  </si>
  <si>
    <t>$15 million</t>
  </si>
  <si>
    <t>&gt; $300 million</t>
  </si>
  <si>
    <t>Kingston Midstream Westpur Limited (formerly TEML Westspur Pipelines Limited)</t>
  </si>
  <si>
    <t>C06040</t>
  </si>
  <si>
    <t>$33.607 million</t>
  </si>
  <si>
    <t>$150 million</t>
  </si>
  <si>
    <t xml:space="preserve">LBX Pipeline Ltd. </t>
  </si>
  <si>
    <t>C07029</t>
  </si>
  <si>
    <t>$997 thousand</t>
  </si>
  <si>
    <t>$550 million</t>
  </si>
  <si>
    <t>Many Island Pipe Lines (Canada) Limited</t>
  </si>
  <si>
    <t>C07037</t>
  </si>
  <si>
    <t xml:space="preserve">Maritimes &amp; Northeast Pipeline Management Limited </t>
  </si>
  <si>
    <t>C06980</t>
  </si>
  <si>
    <t>$7 million</t>
  </si>
  <si>
    <t>$78 million</t>
  </si>
  <si>
    <t>$900 million</t>
  </si>
  <si>
    <t>$22.345 million</t>
  </si>
  <si>
    <t xml:space="preserve">Minell Pipelines Ltd. </t>
  </si>
  <si>
    <t>C06044</t>
  </si>
  <si>
    <t>Montreal Pipe Line Limited</t>
  </si>
  <si>
    <t>C05880</t>
  </si>
  <si>
    <t>$20.916 million</t>
  </si>
  <si>
    <t>$500 thousand</t>
  </si>
  <si>
    <t>$325 million</t>
  </si>
  <si>
    <t>Niagara Gas Transmission Limited</t>
  </si>
  <si>
    <t>C05954</t>
  </si>
  <si>
    <t>$2 million</t>
  </si>
  <si>
    <t>NorthRiver Midstream Canada LP</t>
  </si>
  <si>
    <t>$47.5 million</t>
  </si>
  <si>
    <t xml:space="preserve">  </t>
  </si>
  <si>
    <t>NorthRiver Midstream G and P Canada Pipelines LP</t>
  </si>
  <si>
    <t>NOVA Gas Transmission Ltd.</t>
  </si>
  <si>
    <t>C05936</t>
  </si>
  <si>
    <t>Ovintiv Canada ULC (used to be Encana)</t>
  </si>
  <si>
    <t>C06235</t>
  </si>
  <si>
    <t>$116.333 million</t>
  </si>
  <si>
    <t>$4.965 billion</t>
  </si>
  <si>
    <t>Pembina Energy Services Inc.</t>
  </si>
  <si>
    <t>C06053</t>
  </si>
  <si>
    <t>$700 million</t>
  </si>
  <si>
    <t>Pembina Prairie Facilities Ltd.</t>
  </si>
  <si>
    <t>C06054</t>
  </si>
  <si>
    <t xml:space="preserve">Pine Cliff Energy Ltd. &amp; Pine Cliff Border Pipelines Ltd. </t>
  </si>
  <si>
    <t>C08159</t>
  </si>
  <si>
    <t>PKM Cochin ULC</t>
  </si>
  <si>
    <t>C06046</t>
  </si>
  <si>
    <t>Plains Midstream Canada</t>
  </si>
  <si>
    <t>C06073</t>
  </si>
  <si>
    <t>$45 million USD</t>
  </si>
  <si>
    <t>$3 billion CAD</t>
  </si>
  <si>
    <t>$3 billion USD</t>
  </si>
  <si>
    <t>Pouce Coupe Pipe Line Ltd.</t>
  </si>
  <si>
    <t>C06047</t>
  </si>
  <si>
    <t>Resolute FP Ltd</t>
  </si>
  <si>
    <t>A99932-1</t>
  </si>
  <si>
    <t>Commodity class 1</t>
  </si>
  <si>
    <t>SCL Pipeline Inc.</t>
  </si>
  <si>
    <t>C05984</t>
  </si>
  <si>
    <t>St. Clair Pipelines Management Inc.</t>
  </si>
  <si>
    <t>C05955</t>
  </si>
  <si>
    <t>$6 million</t>
  </si>
  <si>
    <t>Steel Reef Pipelines Canada Corp.</t>
  </si>
  <si>
    <t>A99422</t>
  </si>
  <si>
    <t>Sunoco Pipeline L.P.</t>
  </si>
  <si>
    <t>C07003</t>
  </si>
  <si>
    <t>$28.5 million</t>
  </si>
  <si>
    <t>TAQA North Ltd.</t>
  </si>
  <si>
    <t>C07024</t>
  </si>
  <si>
    <t>$99 thousand</t>
  </si>
  <si>
    <t>&gt; $500 million</t>
  </si>
  <si>
    <t>Trans Mountain Pipeline ULC</t>
  </si>
  <si>
    <t>C05894</t>
  </si>
  <si>
    <t>$252.612 million</t>
  </si>
  <si>
    <t>$662.388 million</t>
  </si>
  <si>
    <t>Trans Northern Pipelines Inc.</t>
  </si>
  <si>
    <t>C06074</t>
  </si>
  <si>
    <t>$687 thousand</t>
  </si>
  <si>
    <t>$28 million</t>
  </si>
  <si>
    <t>$285 million</t>
  </si>
  <si>
    <t>Trans Quebec Maritimes Pipeline Inc.</t>
  </si>
  <si>
    <t>C05938</t>
  </si>
  <si>
    <t>TransCanada Keystone Pipeline GP Ltd.</t>
  </si>
  <si>
    <t>C05191</t>
  </si>
  <si>
    <t>$650 million</t>
  </si>
  <si>
    <t>TransCanada Pipelines Ltd.</t>
  </si>
  <si>
    <t>C05937</t>
  </si>
  <si>
    <t>$1.299 billion</t>
  </si>
  <si>
    <t>$3.6 billion</t>
  </si>
  <si>
    <t>$2.486 billion</t>
  </si>
  <si>
    <t>Vector Pipeline Limited Partnership</t>
  </si>
  <si>
    <t>C05867</t>
  </si>
  <si>
    <t>$175 million</t>
  </si>
  <si>
    <t>$25 million USD</t>
  </si>
  <si>
    <t>Veresen Energy Pipeline Inc.</t>
  </si>
  <si>
    <t>$200 milloin</t>
  </si>
  <si>
    <t>Veresen NGL Pipeline Inc.</t>
  </si>
  <si>
    <t>C06055</t>
  </si>
  <si>
    <t>Westcoast Energy Inc.</t>
  </si>
  <si>
    <t>C05957</t>
  </si>
  <si>
    <t>$17 million</t>
  </si>
  <si>
    <t>$183 million</t>
  </si>
  <si>
    <t>Whitecap Resources Inc.</t>
  </si>
  <si>
    <t>C07005</t>
  </si>
  <si>
    <t>$593.4 milion</t>
  </si>
  <si>
    <t>$83 thousand</t>
  </si>
  <si>
    <t>$1.75 million</t>
  </si>
  <si>
    <t>A99857</t>
  </si>
  <si>
    <t>$15.3 million</t>
  </si>
  <si>
    <t>$1,606.6 million</t>
  </si>
  <si>
    <t>$220 million</t>
  </si>
  <si>
    <t>$8.661 million</t>
  </si>
  <si>
    <t>$30 million</t>
  </si>
  <si>
    <t>Commodity</t>
  </si>
  <si>
    <t>Oil</t>
  </si>
  <si>
    <t>Company Absolute Liability Class</t>
  </si>
  <si>
    <t>Gas</t>
  </si>
  <si>
    <t>CO2 or Water Class</t>
  </si>
  <si>
    <t>Other Commodity (OC)</t>
  </si>
  <si>
    <t>OC Class 1</t>
  </si>
  <si>
    <t>OC Class 2</t>
  </si>
  <si>
    <t>$5 million</t>
  </si>
  <si>
    <t># of companies subject to</t>
  </si>
  <si>
    <t xml:space="preserve">% of companies subject to </t>
  </si>
  <si>
    <t>Absolute Liability Limit (ALL)</t>
  </si>
  <si>
    <t>Total Companies</t>
  </si>
  <si>
    <t xml:space="preserve">Group 1 </t>
  </si>
  <si>
    <t>Absolute Liability Class</t>
  </si>
  <si>
    <t>Companies subjected to Oil Class 1 ALL</t>
  </si>
  <si>
    <t>Group 2 Companies - Absolute Liability Limits</t>
  </si>
  <si>
    <t>Group 1 Companies - Absolute Liability Limits</t>
  </si>
  <si>
    <t>Financial Resource Types</t>
  </si>
  <si>
    <t># of companies using</t>
  </si>
  <si>
    <t>Reliance on Parental Funds</t>
  </si>
  <si>
    <t>Companies in Dataset</t>
  </si>
  <si>
    <t>Surety Bond  / Indemnity Agreement etc.</t>
  </si>
  <si>
    <t>Tamarack Aquitision Corp.</t>
  </si>
  <si>
    <t>?</t>
  </si>
  <si>
    <t>Confid</t>
  </si>
  <si>
    <t>$200 Million</t>
  </si>
  <si>
    <t>Bellatrix Exploration Ltd.</t>
  </si>
  <si>
    <t>Deactivated</t>
  </si>
  <si>
    <t>Bonavista Energy Corp.</t>
  </si>
  <si>
    <t>Abandoned</t>
  </si>
  <si>
    <t>Bow River Energy Limited</t>
  </si>
  <si>
    <t>Canlin Energy Corporation</t>
  </si>
  <si>
    <t>Cenovus Energy Inc.</t>
  </si>
  <si>
    <t>Commandité gestion energy Windmill DREAM Québec inc.</t>
  </si>
  <si>
    <t>Delphi Energy Corp.</t>
  </si>
  <si>
    <t>ExxonMobil Canada Ltd.</t>
  </si>
  <si>
    <t>Forty Mile Gas Co-op</t>
  </si>
  <si>
    <t>Gear Energy Ltd.</t>
  </si>
  <si>
    <t>Not filed</t>
  </si>
  <si>
    <t>Leucrotta Exploration Inc.</t>
  </si>
  <si>
    <t>Lignite Pipeline Canada Corp (used to be ONEOK)</t>
  </si>
  <si>
    <t>Obsidian Energy</t>
  </si>
  <si>
    <t>Omimex Canada Ltd.</t>
  </si>
  <si>
    <t>Pieridae Alberta Production Ltd.</t>
  </si>
  <si>
    <t>Pipestone Energy Corp.</t>
  </si>
  <si>
    <t>Portal Municipal Gas Company Canada Inc. c/o SaskEnergy</t>
  </si>
  <si>
    <t xml:space="preserve">Shiha Energy Transmission Ltd. </t>
  </si>
  <si>
    <t>Souris Valley Pipeline Limited</t>
  </si>
  <si>
    <t>Strategic Oil &amp; Gas (Strategic Transmission)</t>
  </si>
  <si>
    <t xml:space="preserve">Tidewater Midstream &amp; Infrastructure Ltd. </t>
  </si>
  <si>
    <t>Tundra Oil &amp; Gas Limited</t>
  </si>
  <si>
    <t>Twin Rivers Paper Company Inc.</t>
  </si>
  <si>
    <t>Venturion Oil Limited</t>
  </si>
  <si>
    <t>Vermillion Energy Inc.</t>
  </si>
  <si>
    <t>Yoho Resources Inc./SanLing</t>
  </si>
  <si>
    <t>Have NOT filed FR Plan</t>
  </si>
  <si>
    <t>Filed FR Plan publically</t>
  </si>
  <si>
    <t>Filed FR Plan confidentially</t>
  </si>
  <si>
    <t>Plans Approved</t>
  </si>
  <si>
    <t>Plans Under Review</t>
  </si>
  <si>
    <t>C03145</t>
  </si>
  <si>
    <t>$894 thousand</t>
  </si>
  <si>
    <t>$7.337 million</t>
  </si>
  <si>
    <t>CO2 or Water</t>
  </si>
  <si>
    <t>* filter here for confid, not filed, aband, deact</t>
  </si>
  <si>
    <t>% of companies using</t>
  </si>
  <si>
    <t xml:space="preserve">Financial Resource Types Proposed in Companies' FR Plans </t>
  </si>
  <si>
    <t>Companies required to file FR Plans and ALLs</t>
  </si>
  <si>
    <t>Financial Resources Plans (FR Plans) - General Statistics</t>
  </si>
  <si>
    <t>2133151 Alberta Ltd. (Campus Energy Partners Operations Inc.)</t>
  </si>
  <si>
    <t>Genesis Canada Ltd.</t>
  </si>
  <si>
    <t>Westover Express Pipeline Ltd. (used to be Enbridge Line 10)</t>
  </si>
  <si>
    <t>$300 Million</t>
  </si>
  <si>
    <t>C06757</t>
  </si>
  <si>
    <t>Glencoe Resources Ltd.</t>
  </si>
  <si>
    <t>$502.552 million</t>
  </si>
  <si>
    <t>Exempt from filing</t>
  </si>
  <si>
    <t>C01430</t>
  </si>
  <si>
    <t>$126 million</t>
  </si>
  <si>
    <t>deactivated</t>
  </si>
  <si>
    <t>* companies that are confidential have filed either a portion or all of their FR Plan confidentially. For plans where there are limited redactions; those companies' FR types have been included in the datasets.</t>
  </si>
  <si>
    <t>ALL Totals</t>
  </si>
  <si>
    <t xml:space="preserve">* The dataset exludes companies that are exempt from filing (i.e. deactivated/abandoned) and companies that have not yet filed. </t>
  </si>
  <si>
    <t>* This data includes companies that have filed FR Plans publically and confidentially.</t>
  </si>
  <si>
    <t>* green means that the plan or a portion of the plan was treated confidentially</t>
  </si>
  <si>
    <t xml:space="preserve">* Bow River Energy, Campus Energy (2133153 Alberta), Cenovus, Omimex, and Tundra have not been included in this dataset. The plans have redacted certain financial resource types or the plan is under review. </t>
  </si>
  <si>
    <t>*Bow River, Campus (2133141 Alberta), Cenovus, Omimex, and Tundra are confidential filings. Financial resource types have not been posted in this spreadsheet.</t>
  </si>
  <si>
    <t>Legend</t>
  </si>
  <si>
    <t>* read attached comment. This is not a financial resource type. Companies relying on parental resources have multiple options for funding.</t>
  </si>
  <si>
    <t>Absolute Liability Limit (ALL) in millions $</t>
  </si>
  <si>
    <t>Group 1 Companies</t>
  </si>
  <si>
    <t>Group 2 Companies</t>
  </si>
  <si>
    <t>Readily Accessible Resource Level in millions $</t>
  </si>
  <si>
    <t>Not Specified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</si>
</sst>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6" formatCode="&quot;$&quot;#,##0_);[Red]\(&quot;$&quot;#,##0\)"/>
    <numFmt numFmtId="164" formatCode="&quot;$&quot;#,##0"/>
  </numFmts>
  <fonts count="14">
    <font>
      <sz val="11"/>
      <color theme="1"/>
      <name val="Calibri"/>
      <family val="2"/>
      <scheme val="minor"/>
    </font>
    <font>
      <b/>
      <sz val="11"/>
      <color theme="1"/>
      <name val="Calibri"/>
      <family val="2"/>
      <scheme val="minor"/>
    </font>
    <font>
      <i/>
      <sz val="9"/>
      <color rgb="FF000000"/>
      <name val="Calibri-Italic"/>
    </font>
    <font>
      <b/>
      <sz val="14"/>
      <color theme="1"/>
      <name val="Calibri"/>
      <family val="2"/>
      <scheme val="minor"/>
    </font>
    <font>
      <u/>
      <sz val="11"/>
      <color theme="10"/>
      <name val="Calibri"/>
      <family val="2"/>
      <scheme val="minor"/>
    </font>
    <font>
      <sz val="11"/>
      <name val="Calibri"/>
      <family val="2"/>
      <scheme val="minor"/>
    </font>
    <font>
      <strike/>
      <sz val="11"/>
      <color theme="1"/>
      <name val="Calibri"/>
      <family val="2"/>
      <scheme val="minor"/>
    </font>
    <font>
      <sz val="9"/>
      <color indexed="81"/>
      <name val="Tahoma"/>
      <family val="2"/>
    </font>
    <font>
      <b/>
      <sz val="9"/>
      <color indexed="81"/>
      <name val="Tahoma"/>
      <family val="2"/>
    </font>
    <font>
      <sz val="11"/>
      <color theme="1"/>
      <name val="Calibri"/>
      <family val="2"/>
      <scheme val="minor"/>
    </font>
    <font>
      <b/>
      <sz val="12"/>
      <color theme="1"/>
      <name val="Calibri"/>
      <family val="2"/>
      <scheme val="minor"/>
    </font>
    <font>
      <sz val="11"/>
      <color rgb="FFFF0000"/>
      <name val="Calibri"/>
      <family val="2"/>
      <scheme val="minor"/>
    </font>
    <font>
      <b/>
      <sz val="11"/>
      <name val="Calibri"/>
      <family val="2"/>
      <scheme val="minor"/>
    </font>
    <font>
      <sz val="10"/>
      <color theme="1"/>
      <name val="Calibri"/>
      <family val="2"/>
      <scheme val="minor"/>
    </font>
  </fonts>
  <fills count="13">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rgb="FF92D05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theme="9" tint="-0.249977111117893"/>
        <bgColor indexed="64"/>
      </patternFill>
    </fill>
    <fill>
      <patternFill patternType="solid">
        <fgColor theme="0"/>
        <bgColor indexed="64"/>
      </patternFill>
    </fill>
    <fill>
      <patternFill patternType="solid">
        <fgColor theme="7" tint="0.39997558519241921"/>
        <bgColor indexed="64"/>
      </patternFill>
    </fill>
    <fill>
      <patternFill patternType="solid">
        <fgColor rgb="FFFFC000"/>
        <bgColor indexed="64"/>
      </patternFill>
    </fill>
    <fill>
      <patternFill patternType="solid">
        <fgColor theme="0" tint="-0.14999847407452621"/>
        <bgColor indexed="64"/>
      </patternFill>
    </fill>
  </fills>
  <borders count="13">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auto="1"/>
      </left>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4" fillId="0" borderId="0" applyNumberFormat="0" applyFill="0" applyBorder="0" applyAlignment="0" applyProtection="0"/>
    <xf numFmtId="9" fontId="9" fillId="0" borderId="0" applyFont="0" applyFill="0" applyBorder="0" applyAlignment="0" applyProtection="0"/>
  </cellStyleXfs>
  <cellXfs count="116">
    <xf numFmtId="0" fontId="0" fillId="0" borderId="0" xfId="0"/>
    <xf numFmtId="0" fontId="2" fillId="0" borderId="0" xfId="0" applyFont="1"/>
    <xf numFmtId="0" fontId="3" fillId="0" borderId="0" xfId="0" applyFont="1"/>
    <xf numFmtId="0" fontId="0" fillId="0" borderId="0" xfId="0" applyFill="1" applyBorder="1" applyAlignment="1">
      <alignment wrapText="1"/>
    </xf>
    <xf numFmtId="0" fontId="4" fillId="0" borderId="0" xfId="1" applyBorder="1" applyAlignment="1">
      <alignment wrapText="1"/>
    </xf>
    <xf numFmtId="0" fontId="0" fillId="0" borderId="0" xfId="0" applyAlignment="1">
      <alignment horizontal="center"/>
    </xf>
    <xf numFmtId="0" fontId="0" fillId="0" borderId="0" xfId="0" applyFont="1" applyFill="1" applyBorder="1" applyAlignment="1">
      <alignment horizontal="left" vertical="center" wrapText="1"/>
    </xf>
    <xf numFmtId="0" fontId="4" fillId="0" borderId="0" xfId="1" applyBorder="1"/>
    <xf numFmtId="0" fontId="0" fillId="0" borderId="0" xfId="0" applyFill="1" applyBorder="1"/>
    <xf numFmtId="6" fontId="0" fillId="0" borderId="0" xfId="0" applyNumberFormat="1" applyAlignment="1">
      <alignment horizontal="center"/>
    </xf>
    <xf numFmtId="0" fontId="0" fillId="0" borderId="0" xfId="0" applyBorder="1" applyAlignment="1">
      <alignment wrapText="1"/>
    </xf>
    <xf numFmtId="0" fontId="0" fillId="0" borderId="0" xfId="0" applyBorder="1"/>
    <xf numFmtId="0" fontId="4" fillId="0" borderId="0" xfId="1" applyFill="1" applyBorder="1"/>
    <xf numFmtId="0" fontId="0" fillId="0" borderId="0" xfId="0" applyFill="1"/>
    <xf numFmtId="0" fontId="0" fillId="0" borderId="0" xfId="0" applyFill="1" applyAlignment="1">
      <alignment horizontal="center"/>
    </xf>
    <xf numFmtId="0" fontId="4" fillId="0" borderId="0" xfId="1" applyBorder="1" applyAlignment="1">
      <alignment vertical="center"/>
    </xf>
    <xf numFmtId="3" fontId="0" fillId="0" borderId="0" xfId="0" applyNumberFormat="1" applyAlignment="1">
      <alignment horizontal="center"/>
    </xf>
    <xf numFmtId="0" fontId="0" fillId="0" borderId="1" xfId="0" applyBorder="1" applyAlignment="1">
      <alignment wrapText="1"/>
    </xf>
    <xf numFmtId="0" fontId="0" fillId="0" borderId="1" xfId="0" applyFill="1" applyBorder="1" applyAlignment="1">
      <alignment wrapText="1"/>
    </xf>
    <xf numFmtId="0" fontId="0" fillId="0" borderId="1" xfId="0" applyBorder="1"/>
    <xf numFmtId="0" fontId="4" fillId="0" borderId="0" xfId="1"/>
    <xf numFmtId="0" fontId="5" fillId="0" borderId="0" xfId="1" applyFont="1" applyBorder="1"/>
    <xf numFmtId="0" fontId="0" fillId="0" borderId="1" xfId="0" applyBorder="1" applyAlignment="1">
      <alignment vertical="center"/>
    </xf>
    <xf numFmtId="0" fontId="6" fillId="0" borderId="1" xfId="0" applyFont="1" applyFill="1" applyBorder="1"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Fill="1" applyAlignment="1">
      <alignment horizontal="center" vertical="center"/>
    </xf>
    <xf numFmtId="0" fontId="0" fillId="0" borderId="0" xfId="0" applyBorder="1" applyAlignment="1">
      <alignment horizontal="center" vertical="center"/>
    </xf>
    <xf numFmtId="0" fontId="5" fillId="0" borderId="0" xfId="1" applyFont="1" applyBorder="1" applyAlignment="1">
      <alignment horizontal="center" vertical="center"/>
    </xf>
    <xf numFmtId="6" fontId="5" fillId="0" borderId="0" xfId="1" applyNumberFormat="1" applyFont="1" applyBorder="1" applyAlignment="1">
      <alignment horizontal="center" vertical="center"/>
    </xf>
    <xf numFmtId="0" fontId="0" fillId="0" borderId="3" xfId="0" applyBorder="1"/>
    <xf numFmtId="10" fontId="0" fillId="0" borderId="0" xfId="2" applyNumberFormat="1" applyFont="1"/>
    <xf numFmtId="10" fontId="0" fillId="0" borderId="0" xfId="2" applyNumberFormat="1" applyFont="1" applyBorder="1"/>
    <xf numFmtId="0" fontId="0" fillId="0" borderId="4" xfId="0" applyBorder="1"/>
    <xf numFmtId="0" fontId="1" fillId="4" borderId="0" xfId="0" applyFont="1" applyFill="1" applyBorder="1"/>
    <xf numFmtId="0" fontId="1" fillId="4" borderId="1" xfId="0" applyFont="1" applyFill="1" applyBorder="1"/>
    <xf numFmtId="0" fontId="0" fillId="0" borderId="0" xfId="0" applyBorder="1" applyAlignment="1">
      <alignment horizontal="left" wrapText="1"/>
    </xf>
    <xf numFmtId="0" fontId="5" fillId="0" borderId="0" xfId="1" applyFont="1" applyBorder="1" applyAlignment="1">
      <alignment wrapText="1"/>
    </xf>
    <xf numFmtId="0" fontId="5" fillId="0" borderId="0" xfId="1" applyFont="1" applyFill="1" applyBorder="1"/>
    <xf numFmtId="0" fontId="5" fillId="0" borderId="0" xfId="1" applyFont="1" applyBorder="1" applyAlignment="1">
      <alignment vertical="center"/>
    </xf>
    <xf numFmtId="0" fontId="5" fillId="0" borderId="0" xfId="1" applyFont="1"/>
    <xf numFmtId="0" fontId="0" fillId="6" borderId="2" xfId="0" applyFill="1" applyBorder="1" applyAlignment="1">
      <alignment vertical="center"/>
    </xf>
    <xf numFmtId="0" fontId="0" fillId="6" borderId="5" xfId="0" applyFill="1" applyBorder="1" applyAlignment="1">
      <alignment vertical="center" wrapText="1"/>
    </xf>
    <xf numFmtId="0" fontId="0" fillId="6" borderId="6" xfId="0" applyFill="1" applyBorder="1" applyAlignment="1">
      <alignment vertical="center" wrapText="1"/>
    </xf>
    <xf numFmtId="0" fontId="0" fillId="6" borderId="2" xfId="0" applyFill="1" applyBorder="1" applyAlignment="1">
      <alignment vertical="center" wrapText="1"/>
    </xf>
    <xf numFmtId="0" fontId="1" fillId="6" borderId="2" xfId="0" applyFont="1" applyFill="1" applyBorder="1"/>
    <xf numFmtId="0" fontId="1" fillId="6" borderId="2" xfId="0" applyFont="1" applyFill="1" applyBorder="1" applyAlignment="1">
      <alignment horizontal="center"/>
    </xf>
    <xf numFmtId="0" fontId="1" fillId="6" borderId="2" xfId="0" applyFont="1" applyFill="1" applyBorder="1" applyAlignment="1">
      <alignment horizontal="center" wrapText="1"/>
    </xf>
    <xf numFmtId="0" fontId="0" fillId="0" borderId="2" xfId="0" applyBorder="1"/>
    <xf numFmtId="0" fontId="1" fillId="2" borderId="2" xfId="0" applyFont="1" applyFill="1" applyBorder="1"/>
    <xf numFmtId="0" fontId="0" fillId="6" borderId="2" xfId="0" applyFill="1" applyBorder="1" applyAlignment="1">
      <alignment horizontal="center" vertical="center"/>
    </xf>
    <xf numFmtId="0" fontId="0" fillId="6" borderId="2" xfId="0" applyFill="1" applyBorder="1" applyAlignment="1">
      <alignment horizontal="center" vertical="center" wrapText="1"/>
    </xf>
    <xf numFmtId="0" fontId="0" fillId="3" borderId="0" xfId="0" applyFill="1" applyBorder="1"/>
    <xf numFmtId="0" fontId="0" fillId="3" borderId="0" xfId="0" applyFill="1"/>
    <xf numFmtId="0" fontId="0" fillId="3" borderId="0" xfId="0" applyFill="1" applyAlignment="1">
      <alignment horizontal="center"/>
    </xf>
    <xf numFmtId="0" fontId="0" fillId="3" borderId="0" xfId="0" applyFill="1" applyAlignment="1">
      <alignment horizontal="center" wrapText="1"/>
    </xf>
    <xf numFmtId="0" fontId="0" fillId="7" borderId="1" xfId="0" applyFill="1" applyBorder="1"/>
    <xf numFmtId="0" fontId="11" fillId="0" borderId="0" xfId="0" applyFont="1" applyFill="1" applyBorder="1" applyAlignment="1">
      <alignment vertical="center" wrapText="1"/>
    </xf>
    <xf numFmtId="0" fontId="11" fillId="0" borderId="0" xfId="0" applyFont="1" applyFill="1"/>
    <xf numFmtId="0" fontId="0" fillId="8" borderId="0" xfId="0" applyFill="1" applyBorder="1"/>
    <xf numFmtId="0" fontId="5" fillId="7" borderId="0" xfId="0" applyFont="1" applyFill="1" applyBorder="1"/>
    <xf numFmtId="0" fontId="5" fillId="7" borderId="0" xfId="0" applyFont="1" applyFill="1"/>
    <xf numFmtId="0" fontId="5" fillId="0" borderId="0" xfId="0" applyFont="1" applyFill="1" applyBorder="1" applyAlignment="1">
      <alignment horizontal="center" vertical="center"/>
    </xf>
    <xf numFmtId="0" fontId="5" fillId="0" borderId="0" xfId="1" applyFont="1" applyFill="1" applyBorder="1" applyAlignment="1">
      <alignment horizontal="left" vertical="center"/>
    </xf>
    <xf numFmtId="0" fontId="11" fillId="0" borderId="1" xfId="0" applyFont="1" applyFill="1" applyBorder="1" applyAlignment="1">
      <alignment vertical="center" wrapText="1"/>
    </xf>
    <xf numFmtId="0" fontId="5" fillId="7" borderId="1" xfId="0" applyFont="1" applyFill="1" applyBorder="1"/>
    <xf numFmtId="15" fontId="0" fillId="0" borderId="0" xfId="0" applyNumberFormat="1" applyFill="1" applyBorder="1" applyAlignment="1">
      <alignment horizontal="center" vertical="center"/>
    </xf>
    <xf numFmtId="0" fontId="5" fillId="0" borderId="0" xfId="1" applyFont="1" applyBorder="1" applyAlignment="1">
      <alignment horizontal="left" vertical="center"/>
    </xf>
    <xf numFmtId="0" fontId="0" fillId="8" borderId="1" xfId="0" applyFill="1" applyBorder="1"/>
    <xf numFmtId="0" fontId="0" fillId="0" borderId="0" xfId="0" applyFill="1" applyBorder="1" applyAlignment="1">
      <alignment horizontal="center" vertical="center"/>
    </xf>
    <xf numFmtId="0" fontId="5" fillId="8" borderId="1" xfId="0" applyFont="1" applyFill="1" applyBorder="1"/>
    <xf numFmtId="0" fontId="0" fillId="8" borderId="0" xfId="0" applyFill="1" applyBorder="1" applyAlignment="1">
      <alignment vertical="center" wrapText="1"/>
    </xf>
    <xf numFmtId="0" fontId="0" fillId="8" borderId="0" xfId="0" applyFill="1" applyBorder="1" applyAlignment="1">
      <alignment wrapText="1"/>
    </xf>
    <xf numFmtId="0" fontId="5" fillId="9" borderId="0" xfId="0" applyFont="1" applyFill="1" applyBorder="1"/>
    <xf numFmtId="0" fontId="0" fillId="6" borderId="2" xfId="0" applyFont="1" applyFill="1" applyBorder="1" applyAlignment="1">
      <alignment wrapText="1"/>
    </xf>
    <xf numFmtId="0" fontId="0" fillId="6" borderId="2" xfId="0" applyFont="1" applyFill="1" applyBorder="1"/>
    <xf numFmtId="0" fontId="1" fillId="6" borderId="7" xfId="0" applyFont="1" applyFill="1" applyBorder="1"/>
    <xf numFmtId="0" fontId="1" fillId="0" borderId="0" xfId="0" applyFont="1"/>
    <xf numFmtId="0" fontId="12" fillId="10" borderId="2" xfId="0" applyFont="1" applyFill="1" applyBorder="1" applyAlignment="1">
      <alignment horizontal="center" wrapText="1"/>
    </xf>
    <xf numFmtId="0" fontId="0" fillId="8" borderId="0" xfId="0" applyFont="1" applyFill="1" applyBorder="1" applyAlignment="1">
      <alignment horizontal="left" vertical="center" wrapText="1"/>
    </xf>
    <xf numFmtId="0" fontId="11" fillId="0" borderId="0" xfId="0" applyFont="1" applyFill="1" applyBorder="1" applyAlignment="1">
      <alignment wrapText="1"/>
    </xf>
    <xf numFmtId="0" fontId="11" fillId="0" borderId="0" xfId="1" applyFont="1" applyBorder="1" applyAlignment="1"/>
    <xf numFmtId="0" fontId="0" fillId="11" borderId="0" xfId="0" applyFill="1"/>
    <xf numFmtId="0" fontId="0" fillId="0" borderId="1" xfId="0" applyFill="1" applyBorder="1"/>
    <xf numFmtId="0" fontId="11" fillId="0" borderId="1" xfId="0" applyFont="1" applyFill="1" applyBorder="1"/>
    <xf numFmtId="0" fontId="11" fillId="0" borderId="0" xfId="1" applyFont="1" applyFill="1" applyBorder="1"/>
    <xf numFmtId="0" fontId="0" fillId="8" borderId="1" xfId="0" applyFill="1" applyBorder="1" applyAlignment="1">
      <alignment wrapText="1"/>
    </xf>
    <xf numFmtId="0" fontId="0" fillId="0" borderId="2" xfId="0" applyFill="1" applyBorder="1"/>
    <xf numFmtId="0" fontId="5" fillId="8" borderId="0" xfId="0" applyFont="1" applyFill="1" applyBorder="1"/>
    <xf numFmtId="0" fontId="5" fillId="0" borderId="1" xfId="0" applyFont="1" applyFill="1" applyBorder="1"/>
    <xf numFmtId="0" fontId="1" fillId="0" borderId="2" xfId="0" applyFont="1" applyFill="1" applyBorder="1"/>
    <xf numFmtId="0" fontId="4" fillId="0" borderId="0" xfId="1" applyFill="1" applyBorder="1" applyAlignment="1">
      <alignment wrapText="1"/>
    </xf>
    <xf numFmtId="0" fontId="0" fillId="8" borderId="0" xfId="0" applyFill="1"/>
    <xf numFmtId="0" fontId="10" fillId="0" borderId="0" xfId="0" applyFont="1"/>
    <xf numFmtId="0" fontId="13" fillId="0" borderId="0" xfId="0" applyFont="1"/>
    <xf numFmtId="164" fontId="0" fillId="0" borderId="0" xfId="0" applyNumberFormat="1" applyAlignment="1">
      <alignment horizontal="center"/>
    </xf>
    <xf numFmtId="0" fontId="0" fillId="0" borderId="0" xfId="0" applyBorder="1" applyAlignment="1">
      <alignment horizontal="center"/>
    </xf>
    <xf numFmtId="164" fontId="0" fillId="0" borderId="8" xfId="0" applyNumberFormat="1" applyBorder="1" applyAlignment="1">
      <alignment horizontal="center"/>
    </xf>
    <xf numFmtId="0" fontId="0" fillId="0" borderId="3" xfId="0" applyBorder="1" applyAlignment="1">
      <alignment horizontal="center"/>
    </xf>
    <xf numFmtId="164" fontId="0" fillId="0" borderId="9" xfId="0" applyNumberFormat="1" applyBorder="1" applyAlignment="1">
      <alignment horizontal="center"/>
    </xf>
    <xf numFmtId="0" fontId="0" fillId="0" borderId="11" xfId="0" applyBorder="1" applyAlignment="1">
      <alignment horizontal="center"/>
    </xf>
    <xf numFmtId="0" fontId="0" fillId="0" borderId="12" xfId="0" applyBorder="1" applyAlignment="1">
      <alignment horizontal="center" wrapText="1"/>
    </xf>
    <xf numFmtId="0" fontId="0" fillId="12" borderId="0" xfId="0" applyFill="1" applyBorder="1" applyAlignment="1">
      <alignment horizontal="center"/>
    </xf>
    <xf numFmtId="0" fontId="0" fillId="12" borderId="8" xfId="0" applyFill="1" applyBorder="1" applyAlignment="1">
      <alignment horizontal="center"/>
    </xf>
    <xf numFmtId="164" fontId="0" fillId="12" borderId="8" xfId="0" applyNumberFormat="1" applyFill="1" applyBorder="1" applyAlignment="1">
      <alignment horizontal="center"/>
    </xf>
    <xf numFmtId="164" fontId="0" fillId="0" borderId="0" xfId="0" applyNumberFormat="1" applyBorder="1" applyAlignment="1">
      <alignment horizontal="center"/>
    </xf>
    <xf numFmtId="164" fontId="0" fillId="12" borderId="0" xfId="0" applyNumberFormat="1" applyFill="1" applyBorder="1" applyAlignment="1">
      <alignment horizontal="center"/>
    </xf>
    <xf numFmtId="0" fontId="0" fillId="0" borderId="11" xfId="0" applyBorder="1" applyAlignment="1">
      <alignment horizontal="center" wrapText="1"/>
    </xf>
    <xf numFmtId="164" fontId="0" fillId="0" borderId="3" xfId="0" applyNumberFormat="1" applyBorder="1" applyAlignment="1">
      <alignment horizontal="center"/>
    </xf>
    <xf numFmtId="0" fontId="0" fillId="0" borderId="10" xfId="0" applyBorder="1" applyAlignment="1"/>
    <xf numFmtId="0" fontId="0" fillId="12" borderId="1" xfId="0" applyFill="1" applyBorder="1" applyAlignment="1"/>
    <xf numFmtId="0" fontId="0" fillId="0" borderId="1" xfId="0" applyBorder="1" applyAlignment="1"/>
    <xf numFmtId="0" fontId="0" fillId="0" borderId="4" xfId="0" applyBorder="1" applyAlignment="1"/>
    <xf numFmtId="0" fontId="1" fillId="2" borderId="0" xfId="0" applyFont="1" applyFill="1" applyAlignment="1">
      <alignment horizontal="center"/>
    </xf>
    <xf numFmtId="0" fontId="10" fillId="5" borderId="2" xfId="0" applyFont="1" applyFill="1" applyBorder="1" applyAlignment="1">
      <alignment horizontal="center"/>
    </xf>
    <xf numFmtId="0" fontId="1" fillId="5" borderId="2" xfId="0" applyFont="1" applyFill="1" applyBorder="1" applyAlignment="1">
      <alignment horizontal="center"/>
    </xf>
  </cellXfs>
  <cellStyles count="3">
    <cellStyle name="Hyperlink" xfId="1" builtinId="8"/>
    <cellStyle name="Normal" xfId="0" builtinId="0"/>
    <cellStyle name="Percent" xfId="2" builtinId="5"/>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39994506668294322"/>
        </patternFill>
      </fill>
    </dxf>
    <dxf>
      <fill>
        <patternFill>
          <bgColor rgb="FF92D050"/>
        </patternFill>
      </fill>
    </dxf>
    <dxf>
      <fill>
        <patternFill>
          <bgColor theme="4" tint="0.39994506668294322"/>
        </patternFill>
      </fill>
    </dxf>
    <dxf>
      <fill>
        <patternFill>
          <bgColor theme="2" tint="-0.24994659260841701"/>
        </patternFill>
      </fill>
    </dxf>
    <dxf>
      <fill>
        <patternFill>
          <bgColor theme="7" tint="0.39994506668294322"/>
        </patternFill>
      </fill>
    </dxf>
    <dxf>
      <fill>
        <patternFill>
          <bgColor rgb="FF92D050"/>
        </patternFill>
      </fill>
    </dxf>
    <dxf>
      <fill>
        <patternFill>
          <bgColor theme="4" tint="0.39994506668294322"/>
        </patternFill>
      </fill>
    </dxf>
    <dxf>
      <fill>
        <patternFill>
          <bgColor theme="2" tint="-0.24994659260841701"/>
        </patternFill>
      </fill>
    </dxf>
    <dxf>
      <fill>
        <patternFill>
          <bgColor theme="7" tint="0.39994506668294322"/>
        </patternFill>
      </fill>
    </dxf>
    <dxf>
      <fill>
        <patternFill>
          <bgColor rgb="FF92D050"/>
        </patternFill>
      </fill>
    </dxf>
    <dxf>
      <fill>
        <patternFill>
          <bgColor theme="4" tint="0.39994506668294322"/>
        </patternFill>
      </fill>
    </dxf>
    <dxf>
      <fill>
        <patternFill>
          <bgColor theme="2" tint="-0.2499465926084170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pps.cer-rec.gc.ca/REGDOCS/Item/Filing/C05952" TargetMode="External"/><Relationship Id="rId18" Type="http://schemas.openxmlformats.org/officeDocument/2006/relationships/hyperlink" Target="https://apps.cer-rec.gc.ca/REGDOCS/Item/View/3922801" TargetMode="External"/><Relationship Id="rId26" Type="http://schemas.openxmlformats.org/officeDocument/2006/relationships/hyperlink" Target="https://apps.cer-rec.gc.ca/REGDOCS/Item/Filing/C06055" TargetMode="External"/><Relationship Id="rId39" Type="http://schemas.openxmlformats.org/officeDocument/2006/relationships/hyperlink" Target="https://docs2.cer-rec.gc.ca/ll-eng/llisapi.dll/fetch/2000/90463/2935275/2935468/3773834/3934056/C06729-1_Annual_Filing_-_Financial_Resource_Plan_-_A7G2G4.pdf?nodeid=3933685&amp;vernum=-2" TargetMode="External"/><Relationship Id="rId21" Type="http://schemas.openxmlformats.org/officeDocument/2006/relationships/hyperlink" Target="https://apps.cer-rec.gc.ca/REGDOCS/Item/Filing/C06044" TargetMode="External"/><Relationship Id="rId34" Type="http://schemas.openxmlformats.org/officeDocument/2006/relationships/hyperlink" Target="https://apps.cer-rec.gc.ca/REGDOCS/Item/Filing/C05754" TargetMode="External"/><Relationship Id="rId42" Type="http://schemas.openxmlformats.org/officeDocument/2006/relationships/hyperlink" Target="https://apps.cer-rec.gc.ca/REGDOCS/Item/Filing/C06980" TargetMode="External"/><Relationship Id="rId47" Type="http://schemas.openxmlformats.org/officeDocument/2006/relationships/hyperlink" Target="https://docs2.cer-rec.gc.ca/ll-eng/llisapi.dll/fetch/2000/130635/3934738/C06998-1_Glenogle_-_Annual_Reporting_Submission_CER_-_June_29_2020_with_attachs_-_A7G6D6.pdf?nodeid=3934739&amp;vernum=-2" TargetMode="External"/><Relationship Id="rId50" Type="http://schemas.openxmlformats.org/officeDocument/2006/relationships/hyperlink" Target="https://apps.cer-rec.gc.ca/REGDOCS/Item/Filing/C07024" TargetMode="External"/><Relationship Id="rId55" Type="http://schemas.openxmlformats.org/officeDocument/2006/relationships/hyperlink" Target="https://apps.cer-rec.gc.ca/REGDOCS/Item/Filing/C07042" TargetMode="External"/><Relationship Id="rId63" Type="http://schemas.openxmlformats.org/officeDocument/2006/relationships/hyperlink" Target="https://apps.neb-one.gc.ca/REGDOCS/Item/Filing/A99395" TargetMode="External"/><Relationship Id="rId68" Type="http://schemas.openxmlformats.org/officeDocument/2006/relationships/vmlDrawing" Target="../drawings/vmlDrawing1.vml"/><Relationship Id="rId7" Type="http://schemas.openxmlformats.org/officeDocument/2006/relationships/hyperlink" Target="https://apps.cer-rec.gc.ca/REGDOCS/Item/Filing/C05935" TargetMode="External"/><Relationship Id="rId2" Type="http://schemas.openxmlformats.org/officeDocument/2006/relationships/hyperlink" Target="https://apps.cer-rec.gc.ca/REGDOCS/Item/Filing/C05880" TargetMode="External"/><Relationship Id="rId16" Type="http://schemas.openxmlformats.org/officeDocument/2006/relationships/hyperlink" Target="https://apps.cer-rec.gc.ca/REGDOCS/Item/Filing/C05957" TargetMode="External"/><Relationship Id="rId29" Type="http://schemas.openxmlformats.org/officeDocument/2006/relationships/hyperlink" Target="https://apps.cer-rec.gc.ca/REGDOCS/Item/Filing/C06073" TargetMode="External"/><Relationship Id="rId1" Type="http://schemas.openxmlformats.org/officeDocument/2006/relationships/hyperlink" Target="https://apps.cer-rec.gc.ca/REGDOCS/&#201;l&#233;ment/D&#233;p&#244;t/C05857" TargetMode="External"/><Relationship Id="rId6" Type="http://schemas.openxmlformats.org/officeDocument/2006/relationships/hyperlink" Target="https://apps.cer-rec.gc.ca/REGDOCS/Item/Filing/C05934" TargetMode="External"/><Relationship Id="rId11" Type="http://schemas.openxmlformats.org/officeDocument/2006/relationships/hyperlink" Target="https://apps.cer-rec.gc.ca/REGDOCS/Item/Filing/C05984" TargetMode="External"/><Relationship Id="rId24" Type="http://schemas.openxmlformats.org/officeDocument/2006/relationships/hyperlink" Target="https://apps.cer-rec.gc.ca/REGDOCS/Item/Filing/C06053" TargetMode="External"/><Relationship Id="rId32" Type="http://schemas.openxmlformats.org/officeDocument/2006/relationships/hyperlink" Target="https://apps.cer-rec.gc.ca/REGDOCS/Item/Filing/C05753" TargetMode="External"/><Relationship Id="rId37" Type="http://schemas.openxmlformats.org/officeDocument/2006/relationships/hyperlink" Target="https://apps.cer-rec.gc.ca/REGDOCS/Item/Filing/C05751" TargetMode="External"/><Relationship Id="rId40" Type="http://schemas.openxmlformats.org/officeDocument/2006/relationships/hyperlink" Target="https://docs2.cer-rec.gc.ca/ll-eng/llisapi.dll/fetch/2000/90463/2935275/2935468/3773833/3932543/C06730-1_Annual_Filing_-_Financial_Resource_Plan_-_A7G2G6.pdf?nodeid=3932544&amp;vernum=-2" TargetMode="External"/><Relationship Id="rId45" Type="http://schemas.openxmlformats.org/officeDocument/2006/relationships/hyperlink" Target="https://apps.cer-rec.gc.ca/REGDOCS/Item/Filing/C07005" TargetMode="External"/><Relationship Id="rId53" Type="http://schemas.openxmlformats.org/officeDocument/2006/relationships/hyperlink" Target="https://apps.cer-rec.gc.ca/REGDOCS/Item/Filing/C07034" TargetMode="External"/><Relationship Id="rId58" Type="http://schemas.openxmlformats.org/officeDocument/2006/relationships/hyperlink" Target="https://apps.neb-one.gc.ca/REGDOCS/Item/Filing/C00858" TargetMode="External"/><Relationship Id="rId66" Type="http://schemas.openxmlformats.org/officeDocument/2006/relationships/hyperlink" Target="https://docs2.cer-rec.gc.ca/ll-eng/llisapi.dll/fetch/2000/90463/2935275/2935468/3782159/3817371/C01430-1_Financial_Resources_Plan_-_A6X4Z5.pdf?nodeid=3819659&amp;vernum=-2" TargetMode="External"/><Relationship Id="rId5" Type="http://schemas.openxmlformats.org/officeDocument/2006/relationships/hyperlink" Target="https://apps.cer-rec.gc.ca/REGDOCS/Item/Filing/C05921" TargetMode="External"/><Relationship Id="rId15" Type="http://schemas.openxmlformats.org/officeDocument/2006/relationships/hyperlink" Target="https://apps.cer-rec.gc.ca/REGDOCS/&#201;l&#233;ment/D&#233;p&#244;t/C05955" TargetMode="External"/><Relationship Id="rId23" Type="http://schemas.openxmlformats.org/officeDocument/2006/relationships/hyperlink" Target="https://apps.cer-rec.gc.ca/REGDOCS/Item/Filing/C06047" TargetMode="External"/><Relationship Id="rId28" Type="http://schemas.openxmlformats.org/officeDocument/2006/relationships/hyperlink" Target="https://apps.cer-rec.gc.ca/REGDOCS/Item/Filing/C06059" TargetMode="External"/><Relationship Id="rId36" Type="http://schemas.openxmlformats.org/officeDocument/2006/relationships/hyperlink" Target="https://apps.cer-rec.gc.ca/REGDOCS/Item/Filing/C05191" TargetMode="External"/><Relationship Id="rId49" Type="http://schemas.openxmlformats.org/officeDocument/2006/relationships/hyperlink" Target="https://apps.cer-rec.gc.ca/REGDOCS/Item/Filing/C07023" TargetMode="External"/><Relationship Id="rId57" Type="http://schemas.openxmlformats.org/officeDocument/2006/relationships/hyperlink" Target="https://apps.neb-one.gc.ca/REGDOCS/Item/Filing/A99387" TargetMode="External"/><Relationship Id="rId61" Type="http://schemas.openxmlformats.org/officeDocument/2006/relationships/hyperlink" Target="https://apps.neb-one.gc.ca/REGDOCS/File/Download/3785493" TargetMode="External"/><Relationship Id="rId10" Type="http://schemas.openxmlformats.org/officeDocument/2006/relationships/hyperlink" Target="https://apps.cer-rec.gc.ca/REGDOCS/Item/Filing/C05938" TargetMode="External"/><Relationship Id="rId19" Type="http://schemas.openxmlformats.org/officeDocument/2006/relationships/hyperlink" Target="https://apps.cer-rec.gc.ca/REGDOCS/Item/View/3923150" TargetMode="External"/><Relationship Id="rId31" Type="http://schemas.openxmlformats.org/officeDocument/2006/relationships/hyperlink" Target="https://apps.cer-rec.gc.ca/REGDOCS/Item/Filing/C06235" TargetMode="External"/><Relationship Id="rId44" Type="http://schemas.openxmlformats.org/officeDocument/2006/relationships/hyperlink" Target="https://apps.cer-rec.gc.ca/REGDOCS/Item/Filing/C06975" TargetMode="External"/><Relationship Id="rId52" Type="http://schemas.openxmlformats.org/officeDocument/2006/relationships/hyperlink" Target="https://apps.cer-rec.gc.ca/REGDOCS/Item/Filing/C07030" TargetMode="External"/><Relationship Id="rId60" Type="http://schemas.openxmlformats.org/officeDocument/2006/relationships/hyperlink" Target="https://apps.cer-rec.gc.ca/REGDOCS/Item/View/3962620" TargetMode="External"/><Relationship Id="rId65" Type="http://schemas.openxmlformats.org/officeDocument/2006/relationships/hyperlink" Target="https://docs2.cer-rec.gc.ca/ll-eng/llisapi.dll/fetch/2000/130635/3933704/C06757-1_Westover_Express_Financial_Resources_Plan_6.9.20_-_A7G2R2.pdf?nodeid=3933705&amp;vernum=-2" TargetMode="External"/><Relationship Id="rId4" Type="http://schemas.openxmlformats.org/officeDocument/2006/relationships/hyperlink" Target="https://apps.cer-rec.gc.ca/REGDOCS/Item/Filing/C05911" TargetMode="External"/><Relationship Id="rId9" Type="http://schemas.openxmlformats.org/officeDocument/2006/relationships/hyperlink" Target="https://apps.cer-rec.gc.ca/REGDOCS/Item/Filing/C05937" TargetMode="External"/><Relationship Id="rId14" Type="http://schemas.openxmlformats.org/officeDocument/2006/relationships/hyperlink" Target="https://apps.cer-rec.gc.ca/REGDOCS/Item/Filing/C05953" TargetMode="External"/><Relationship Id="rId22" Type="http://schemas.openxmlformats.org/officeDocument/2006/relationships/hyperlink" Target="https://apps.cer-rec.gc.ca/REGDOCS/Item/Filing/C06046" TargetMode="External"/><Relationship Id="rId27" Type="http://schemas.openxmlformats.org/officeDocument/2006/relationships/hyperlink" Target="https://apps.cer-rec.gc.ca/REGDOCS/Item/Filing/C06060" TargetMode="External"/><Relationship Id="rId30" Type="http://schemas.openxmlformats.org/officeDocument/2006/relationships/hyperlink" Target="https://apps.cer-rec.gc.ca/REGDOCS/Item/Filing/C06074" TargetMode="External"/><Relationship Id="rId35" Type="http://schemas.openxmlformats.org/officeDocument/2006/relationships/hyperlink" Target="https://apps.cer-rec.gc.ca/REGDOCS/Item/Filing/C05183" TargetMode="External"/><Relationship Id="rId43" Type="http://schemas.openxmlformats.org/officeDocument/2006/relationships/hyperlink" Target="https://docs2.cer-rec.gc.ca/ll-eng/llisapi.dll/fetch/2000/130635/3935159/C06976-1_Aurora_Pipeline_Financial_Resources_Letter_-_June_-_A7G5T5.pdf?nodeid=3934858&amp;vernum=-2" TargetMode="External"/><Relationship Id="rId48" Type="http://schemas.openxmlformats.org/officeDocument/2006/relationships/hyperlink" Target="https://apps.cer-rec.gc.ca/REGDOCS/Item/Filing/C06996" TargetMode="External"/><Relationship Id="rId56" Type="http://schemas.openxmlformats.org/officeDocument/2006/relationships/hyperlink" Target="https://docs2.cer-rec.gc.ca/ll-eng/llisapi.dll/fetch/2000/90463/2935275/2935468/2939167/3933700/C06752-1_ARC_Resources_Ltd._Pipeline_Financial_Resources_Plan_OF-GEN-06_FRR_JUN_09_2020_-_A7G2Q2.pdf?nodeid=3933701&amp;vernum=-2" TargetMode="External"/><Relationship Id="rId64" Type="http://schemas.openxmlformats.org/officeDocument/2006/relationships/hyperlink" Target="https://apps.cer-rec.gc.ca/REGDOCS/Item/View/3785266" TargetMode="External"/><Relationship Id="rId69" Type="http://schemas.openxmlformats.org/officeDocument/2006/relationships/comments" Target="../comments1.xml"/><Relationship Id="rId8" Type="http://schemas.openxmlformats.org/officeDocument/2006/relationships/hyperlink" Target="https://apps.cer-rec.gc.ca/REGDOCS/Item/Filing/C05936" TargetMode="External"/><Relationship Id="rId51" Type="http://schemas.openxmlformats.org/officeDocument/2006/relationships/hyperlink" Target="https://apps.cer-rec.gc.ca/REGDOCS/Item/Filing/C07029" TargetMode="External"/><Relationship Id="rId3" Type="http://schemas.openxmlformats.org/officeDocument/2006/relationships/hyperlink" Target="https://apps.cer-rec.gc.ca/REGDOCS/Item/Filing/C05894" TargetMode="External"/><Relationship Id="rId12" Type="http://schemas.openxmlformats.org/officeDocument/2006/relationships/hyperlink" Target="https://apps.cer-rec.gc.ca/REGDOCS/Item/Filing/C05970" TargetMode="External"/><Relationship Id="rId17" Type="http://schemas.openxmlformats.org/officeDocument/2006/relationships/hyperlink" Target="https://apps.cer-rec.gc.ca/REGDOCS/Item/Filing/C05954" TargetMode="External"/><Relationship Id="rId25" Type="http://schemas.openxmlformats.org/officeDocument/2006/relationships/hyperlink" Target="https://apps.cer-rec.gc.ca/REGDOCS/Item/Filing/C06054" TargetMode="External"/><Relationship Id="rId33" Type="http://schemas.openxmlformats.org/officeDocument/2006/relationships/hyperlink" Target="https://apps.cer-rec.gc.ca/REGDOCS/Item/Filing/C05181" TargetMode="External"/><Relationship Id="rId38" Type="http://schemas.openxmlformats.org/officeDocument/2006/relationships/hyperlink" Target="https://apps.cer-rec.gc.ca/REGDOCS/Item/Filing/C05867" TargetMode="External"/><Relationship Id="rId46" Type="http://schemas.openxmlformats.org/officeDocument/2006/relationships/hyperlink" Target="https://docs2.cer-rec.gc.ca/ll-eng/llisapi.dll/fetch/2000/130635/3935356/C07003-1_Sunoco_Pipeline_Annual_Report_to_CER_-_Financial_Requirements_Plan_Filing_June_26_2020__-_A7G6E6.pdf?nodeid=3935357&amp;vernum=-2" TargetMode="External"/><Relationship Id="rId59" Type="http://schemas.openxmlformats.org/officeDocument/2006/relationships/hyperlink" Target="https://apps.neb-one.gc.ca/REGDOCS/Item/Filing/A98932" TargetMode="External"/><Relationship Id="rId67" Type="http://schemas.openxmlformats.org/officeDocument/2006/relationships/hyperlink" Target="https://apps.neb-one.gc.ca/REGDOCS/Item/Filing/C00709" TargetMode="External"/><Relationship Id="rId20" Type="http://schemas.openxmlformats.org/officeDocument/2006/relationships/hyperlink" Target="https://apps.cer-rec.gc.ca/REGDOCS/Item/Filing/C06040" TargetMode="External"/><Relationship Id="rId41" Type="http://schemas.openxmlformats.org/officeDocument/2006/relationships/hyperlink" Target="https://apps.cer-rec.gc.ca/REGDOCS/Item/Filing/C06951" TargetMode="External"/><Relationship Id="rId54" Type="http://schemas.openxmlformats.org/officeDocument/2006/relationships/hyperlink" Target="https://apps.cer-rec.gc.ca/REGDOCS/Item/Filing/C07037" TargetMode="External"/><Relationship Id="rId62" Type="http://schemas.openxmlformats.org/officeDocument/2006/relationships/hyperlink" Target="https://apps.neb-one.gc.ca/REGDOCS/Item/Filing/A99422"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04"/>
  <sheetViews>
    <sheetView zoomScale="85" zoomScaleNormal="85" workbookViewId="0">
      <pane ySplit="6" topLeftCell="A7" activePane="bottomLeft" state="frozen"/>
      <selection pane="bottomLeft" activeCell="B6" sqref="B6"/>
    </sheetView>
  </sheetViews>
  <sheetFormatPr defaultRowHeight="15"/>
  <cols>
    <col min="1" max="1" width="28" customWidth="1"/>
    <col min="2" max="2" width="9.140625" customWidth="1"/>
    <col min="3" max="3" width="13.42578125" bestFit="1" customWidth="1"/>
    <col min="4" max="4" width="14.7109375" style="5" bestFit="1" customWidth="1"/>
    <col min="5" max="5" width="12.42578125" style="5" customWidth="1"/>
    <col min="6" max="6" width="16.140625" style="5" bestFit="1" customWidth="1"/>
    <col min="7" max="7" width="16.140625" style="5" customWidth="1"/>
    <col min="8" max="8" width="15.5703125" style="5" bestFit="1" customWidth="1"/>
    <col min="9" max="9" width="16.140625" style="5" bestFit="1" customWidth="1"/>
    <col min="10" max="10" width="14.7109375" style="5" customWidth="1"/>
    <col min="11" max="11" width="10.5703125" style="5" customWidth="1"/>
    <col min="12" max="12" width="14.28515625" style="5" bestFit="1" customWidth="1"/>
    <col min="13" max="13" width="13.5703125" style="5" customWidth="1"/>
    <col min="14" max="14" width="16.140625" style="5" bestFit="1" customWidth="1"/>
    <col min="15" max="15" width="15.28515625" style="5" customWidth="1"/>
    <col min="16" max="16" width="16.28515625" style="5" customWidth="1"/>
    <col min="17" max="17" width="12.42578125" style="5" customWidth="1"/>
    <col min="18" max="18" width="11.85546875" hidden="1" customWidth="1"/>
    <col min="257" max="257" width="28" customWidth="1"/>
    <col min="258" max="258" width="9.140625" customWidth="1"/>
    <col min="259" max="259" width="13.42578125" bestFit="1" customWidth="1"/>
    <col min="260" max="260" width="14.7109375" bestFit="1" customWidth="1"/>
    <col min="261" max="261" width="12.42578125" customWidth="1"/>
    <col min="262" max="262" width="16.140625" bestFit="1" customWidth="1"/>
    <col min="263" max="263" width="16.140625" customWidth="1"/>
    <col min="264" max="264" width="15.5703125" bestFit="1" customWidth="1"/>
    <col min="265" max="265" width="16.140625" bestFit="1" customWidth="1"/>
    <col min="266" max="266" width="14.7109375" customWidth="1"/>
    <col min="267" max="267" width="10.5703125" customWidth="1"/>
    <col min="268" max="268" width="14.28515625" bestFit="1" customWidth="1"/>
    <col min="269" max="269" width="13.5703125" customWidth="1"/>
    <col min="270" max="270" width="16.140625" bestFit="1" customWidth="1"/>
    <col min="271" max="271" width="15.28515625" customWidth="1"/>
    <col min="272" max="272" width="16.28515625" customWidth="1"/>
    <col min="273" max="273" width="12.42578125" customWidth="1"/>
    <col min="274" max="274" width="11.85546875" customWidth="1"/>
    <col min="513" max="513" width="28" customWidth="1"/>
    <col min="514" max="514" width="9.140625" customWidth="1"/>
    <col min="515" max="515" width="13.42578125" bestFit="1" customWidth="1"/>
    <col min="516" max="516" width="14.7109375" bestFit="1" customWidth="1"/>
    <col min="517" max="517" width="12.42578125" customWidth="1"/>
    <col min="518" max="518" width="16.140625" bestFit="1" customWidth="1"/>
    <col min="519" max="519" width="16.140625" customWidth="1"/>
    <col min="520" max="520" width="15.5703125" bestFit="1" customWidth="1"/>
    <col min="521" max="521" width="16.140625" bestFit="1" customWidth="1"/>
    <col min="522" max="522" width="14.7109375" customWidth="1"/>
    <col min="523" max="523" width="10.5703125" customWidth="1"/>
    <col min="524" max="524" width="14.28515625" bestFit="1" customWidth="1"/>
    <col min="525" max="525" width="13.5703125" customWidth="1"/>
    <col min="526" max="526" width="16.140625" bestFit="1" customWidth="1"/>
    <col min="527" max="527" width="15.28515625" customWidth="1"/>
    <col min="528" max="528" width="16.28515625" customWidth="1"/>
    <col min="529" max="529" width="12.42578125" customWidth="1"/>
    <col min="530" max="530" width="11.85546875" customWidth="1"/>
    <col min="769" max="769" width="28" customWidth="1"/>
    <col min="770" max="770" width="9.140625" customWidth="1"/>
    <col min="771" max="771" width="13.42578125" bestFit="1" customWidth="1"/>
    <col min="772" max="772" width="14.7109375" bestFit="1" customWidth="1"/>
    <col min="773" max="773" width="12.42578125" customWidth="1"/>
    <col min="774" max="774" width="16.140625" bestFit="1" customWidth="1"/>
    <col min="775" max="775" width="16.140625" customWidth="1"/>
    <col min="776" max="776" width="15.5703125" bestFit="1" customWidth="1"/>
    <col min="777" max="777" width="16.140625" bestFit="1" customWidth="1"/>
    <col min="778" max="778" width="14.7109375" customWidth="1"/>
    <col min="779" max="779" width="10.5703125" customWidth="1"/>
    <col min="780" max="780" width="14.28515625" bestFit="1" customWidth="1"/>
    <col min="781" max="781" width="13.5703125" customWidth="1"/>
    <col min="782" max="782" width="16.140625" bestFit="1" customWidth="1"/>
    <col min="783" max="783" width="15.28515625" customWidth="1"/>
    <col min="784" max="784" width="16.28515625" customWidth="1"/>
    <col min="785" max="785" width="12.42578125" customWidth="1"/>
    <col min="786" max="786" width="11.85546875" customWidth="1"/>
    <col min="1025" max="1025" width="28" customWidth="1"/>
    <col min="1026" max="1026" width="9.140625" customWidth="1"/>
    <col min="1027" max="1027" width="13.42578125" bestFit="1" customWidth="1"/>
    <col min="1028" max="1028" width="14.7109375" bestFit="1" customWidth="1"/>
    <col min="1029" max="1029" width="12.42578125" customWidth="1"/>
    <col min="1030" max="1030" width="16.140625" bestFit="1" customWidth="1"/>
    <col min="1031" max="1031" width="16.140625" customWidth="1"/>
    <col min="1032" max="1032" width="15.5703125" bestFit="1" customWidth="1"/>
    <col min="1033" max="1033" width="16.140625" bestFit="1" customWidth="1"/>
    <col min="1034" max="1034" width="14.7109375" customWidth="1"/>
    <col min="1035" max="1035" width="10.5703125" customWidth="1"/>
    <col min="1036" max="1036" width="14.28515625" bestFit="1" customWidth="1"/>
    <col min="1037" max="1037" width="13.5703125" customWidth="1"/>
    <col min="1038" max="1038" width="16.140625" bestFit="1" customWidth="1"/>
    <col min="1039" max="1039" width="15.28515625" customWidth="1"/>
    <col min="1040" max="1040" width="16.28515625" customWidth="1"/>
    <col min="1041" max="1041" width="12.42578125" customWidth="1"/>
    <col min="1042" max="1042" width="11.85546875" customWidth="1"/>
    <col min="1281" max="1281" width="28" customWidth="1"/>
    <col min="1282" max="1282" width="9.140625" customWidth="1"/>
    <col min="1283" max="1283" width="13.42578125" bestFit="1" customWidth="1"/>
    <col min="1284" max="1284" width="14.7109375" bestFit="1" customWidth="1"/>
    <col min="1285" max="1285" width="12.42578125" customWidth="1"/>
    <col min="1286" max="1286" width="16.140625" bestFit="1" customWidth="1"/>
    <col min="1287" max="1287" width="16.140625" customWidth="1"/>
    <col min="1288" max="1288" width="15.5703125" bestFit="1" customWidth="1"/>
    <col min="1289" max="1289" width="16.140625" bestFit="1" customWidth="1"/>
    <col min="1290" max="1290" width="14.7109375" customWidth="1"/>
    <col min="1291" max="1291" width="10.5703125" customWidth="1"/>
    <col min="1292" max="1292" width="14.28515625" bestFit="1" customWidth="1"/>
    <col min="1293" max="1293" width="13.5703125" customWidth="1"/>
    <col min="1294" max="1294" width="16.140625" bestFit="1" customWidth="1"/>
    <col min="1295" max="1295" width="15.28515625" customWidth="1"/>
    <col min="1296" max="1296" width="16.28515625" customWidth="1"/>
    <col min="1297" max="1297" width="12.42578125" customWidth="1"/>
    <col min="1298" max="1298" width="11.85546875" customWidth="1"/>
    <col min="1537" max="1537" width="28" customWidth="1"/>
    <col min="1538" max="1538" width="9.140625" customWidth="1"/>
    <col min="1539" max="1539" width="13.42578125" bestFit="1" customWidth="1"/>
    <col min="1540" max="1540" width="14.7109375" bestFit="1" customWidth="1"/>
    <col min="1541" max="1541" width="12.42578125" customWidth="1"/>
    <col min="1542" max="1542" width="16.140625" bestFit="1" customWidth="1"/>
    <col min="1543" max="1543" width="16.140625" customWidth="1"/>
    <col min="1544" max="1544" width="15.5703125" bestFit="1" customWidth="1"/>
    <col min="1545" max="1545" width="16.140625" bestFit="1" customWidth="1"/>
    <col min="1546" max="1546" width="14.7109375" customWidth="1"/>
    <col min="1547" max="1547" width="10.5703125" customWidth="1"/>
    <col min="1548" max="1548" width="14.28515625" bestFit="1" customWidth="1"/>
    <col min="1549" max="1549" width="13.5703125" customWidth="1"/>
    <col min="1550" max="1550" width="16.140625" bestFit="1" customWidth="1"/>
    <col min="1551" max="1551" width="15.28515625" customWidth="1"/>
    <col min="1552" max="1552" width="16.28515625" customWidth="1"/>
    <col min="1553" max="1553" width="12.42578125" customWidth="1"/>
    <col min="1554" max="1554" width="11.85546875" customWidth="1"/>
    <col min="1793" max="1793" width="28" customWidth="1"/>
    <col min="1794" max="1794" width="9.140625" customWidth="1"/>
    <col min="1795" max="1795" width="13.42578125" bestFit="1" customWidth="1"/>
    <col min="1796" max="1796" width="14.7109375" bestFit="1" customWidth="1"/>
    <col min="1797" max="1797" width="12.42578125" customWidth="1"/>
    <col min="1798" max="1798" width="16.140625" bestFit="1" customWidth="1"/>
    <col min="1799" max="1799" width="16.140625" customWidth="1"/>
    <col min="1800" max="1800" width="15.5703125" bestFit="1" customWidth="1"/>
    <col min="1801" max="1801" width="16.140625" bestFit="1" customWidth="1"/>
    <col min="1802" max="1802" width="14.7109375" customWidth="1"/>
    <col min="1803" max="1803" width="10.5703125" customWidth="1"/>
    <col min="1804" max="1804" width="14.28515625" bestFit="1" customWidth="1"/>
    <col min="1805" max="1805" width="13.5703125" customWidth="1"/>
    <col min="1806" max="1806" width="16.140625" bestFit="1" customWidth="1"/>
    <col min="1807" max="1807" width="15.28515625" customWidth="1"/>
    <col min="1808" max="1808" width="16.28515625" customWidth="1"/>
    <col min="1809" max="1809" width="12.42578125" customWidth="1"/>
    <col min="1810" max="1810" width="11.85546875" customWidth="1"/>
    <col min="2049" max="2049" width="28" customWidth="1"/>
    <col min="2050" max="2050" width="9.140625" customWidth="1"/>
    <col min="2051" max="2051" width="13.42578125" bestFit="1" customWidth="1"/>
    <col min="2052" max="2052" width="14.7109375" bestFit="1" customWidth="1"/>
    <col min="2053" max="2053" width="12.42578125" customWidth="1"/>
    <col min="2054" max="2054" width="16.140625" bestFit="1" customWidth="1"/>
    <col min="2055" max="2055" width="16.140625" customWidth="1"/>
    <col min="2056" max="2056" width="15.5703125" bestFit="1" customWidth="1"/>
    <col min="2057" max="2057" width="16.140625" bestFit="1" customWidth="1"/>
    <col min="2058" max="2058" width="14.7109375" customWidth="1"/>
    <col min="2059" max="2059" width="10.5703125" customWidth="1"/>
    <col min="2060" max="2060" width="14.28515625" bestFit="1" customWidth="1"/>
    <col min="2061" max="2061" width="13.5703125" customWidth="1"/>
    <col min="2062" max="2062" width="16.140625" bestFit="1" customWidth="1"/>
    <col min="2063" max="2063" width="15.28515625" customWidth="1"/>
    <col min="2064" max="2064" width="16.28515625" customWidth="1"/>
    <col min="2065" max="2065" width="12.42578125" customWidth="1"/>
    <col min="2066" max="2066" width="11.85546875" customWidth="1"/>
    <col min="2305" max="2305" width="28" customWidth="1"/>
    <col min="2306" max="2306" width="9.140625" customWidth="1"/>
    <col min="2307" max="2307" width="13.42578125" bestFit="1" customWidth="1"/>
    <col min="2308" max="2308" width="14.7109375" bestFit="1" customWidth="1"/>
    <col min="2309" max="2309" width="12.42578125" customWidth="1"/>
    <col min="2310" max="2310" width="16.140625" bestFit="1" customWidth="1"/>
    <col min="2311" max="2311" width="16.140625" customWidth="1"/>
    <col min="2312" max="2312" width="15.5703125" bestFit="1" customWidth="1"/>
    <col min="2313" max="2313" width="16.140625" bestFit="1" customWidth="1"/>
    <col min="2314" max="2314" width="14.7109375" customWidth="1"/>
    <col min="2315" max="2315" width="10.5703125" customWidth="1"/>
    <col min="2316" max="2316" width="14.28515625" bestFit="1" customWidth="1"/>
    <col min="2317" max="2317" width="13.5703125" customWidth="1"/>
    <col min="2318" max="2318" width="16.140625" bestFit="1" customWidth="1"/>
    <col min="2319" max="2319" width="15.28515625" customWidth="1"/>
    <col min="2320" max="2320" width="16.28515625" customWidth="1"/>
    <col min="2321" max="2321" width="12.42578125" customWidth="1"/>
    <col min="2322" max="2322" width="11.85546875" customWidth="1"/>
    <col min="2561" max="2561" width="28" customWidth="1"/>
    <col min="2562" max="2562" width="9.140625" customWidth="1"/>
    <col min="2563" max="2563" width="13.42578125" bestFit="1" customWidth="1"/>
    <col min="2564" max="2564" width="14.7109375" bestFit="1" customWidth="1"/>
    <col min="2565" max="2565" width="12.42578125" customWidth="1"/>
    <col min="2566" max="2566" width="16.140625" bestFit="1" customWidth="1"/>
    <col min="2567" max="2567" width="16.140625" customWidth="1"/>
    <col min="2568" max="2568" width="15.5703125" bestFit="1" customWidth="1"/>
    <col min="2569" max="2569" width="16.140625" bestFit="1" customWidth="1"/>
    <col min="2570" max="2570" width="14.7109375" customWidth="1"/>
    <col min="2571" max="2571" width="10.5703125" customWidth="1"/>
    <col min="2572" max="2572" width="14.28515625" bestFit="1" customWidth="1"/>
    <col min="2573" max="2573" width="13.5703125" customWidth="1"/>
    <col min="2574" max="2574" width="16.140625" bestFit="1" customWidth="1"/>
    <col min="2575" max="2575" width="15.28515625" customWidth="1"/>
    <col min="2576" max="2576" width="16.28515625" customWidth="1"/>
    <col min="2577" max="2577" width="12.42578125" customWidth="1"/>
    <col min="2578" max="2578" width="11.85546875" customWidth="1"/>
    <col min="2817" max="2817" width="28" customWidth="1"/>
    <col min="2818" max="2818" width="9.140625" customWidth="1"/>
    <col min="2819" max="2819" width="13.42578125" bestFit="1" customWidth="1"/>
    <col min="2820" max="2820" width="14.7109375" bestFit="1" customWidth="1"/>
    <col min="2821" max="2821" width="12.42578125" customWidth="1"/>
    <col min="2822" max="2822" width="16.140625" bestFit="1" customWidth="1"/>
    <col min="2823" max="2823" width="16.140625" customWidth="1"/>
    <col min="2824" max="2824" width="15.5703125" bestFit="1" customWidth="1"/>
    <col min="2825" max="2825" width="16.140625" bestFit="1" customWidth="1"/>
    <col min="2826" max="2826" width="14.7109375" customWidth="1"/>
    <col min="2827" max="2827" width="10.5703125" customWidth="1"/>
    <col min="2828" max="2828" width="14.28515625" bestFit="1" customWidth="1"/>
    <col min="2829" max="2829" width="13.5703125" customWidth="1"/>
    <col min="2830" max="2830" width="16.140625" bestFit="1" customWidth="1"/>
    <col min="2831" max="2831" width="15.28515625" customWidth="1"/>
    <col min="2832" max="2832" width="16.28515625" customWidth="1"/>
    <col min="2833" max="2833" width="12.42578125" customWidth="1"/>
    <col min="2834" max="2834" width="11.85546875" customWidth="1"/>
    <col min="3073" max="3073" width="28" customWidth="1"/>
    <col min="3074" max="3074" width="9.140625" customWidth="1"/>
    <col min="3075" max="3075" width="13.42578125" bestFit="1" customWidth="1"/>
    <col min="3076" max="3076" width="14.7109375" bestFit="1" customWidth="1"/>
    <col min="3077" max="3077" width="12.42578125" customWidth="1"/>
    <col min="3078" max="3078" width="16.140625" bestFit="1" customWidth="1"/>
    <col min="3079" max="3079" width="16.140625" customWidth="1"/>
    <col min="3080" max="3080" width="15.5703125" bestFit="1" customWidth="1"/>
    <col min="3081" max="3081" width="16.140625" bestFit="1" customWidth="1"/>
    <col min="3082" max="3082" width="14.7109375" customWidth="1"/>
    <col min="3083" max="3083" width="10.5703125" customWidth="1"/>
    <col min="3084" max="3084" width="14.28515625" bestFit="1" customWidth="1"/>
    <col min="3085" max="3085" width="13.5703125" customWidth="1"/>
    <col min="3086" max="3086" width="16.140625" bestFit="1" customWidth="1"/>
    <col min="3087" max="3087" width="15.28515625" customWidth="1"/>
    <col min="3088" max="3088" width="16.28515625" customWidth="1"/>
    <col min="3089" max="3089" width="12.42578125" customWidth="1"/>
    <col min="3090" max="3090" width="11.85546875" customWidth="1"/>
    <col min="3329" max="3329" width="28" customWidth="1"/>
    <col min="3330" max="3330" width="9.140625" customWidth="1"/>
    <col min="3331" max="3331" width="13.42578125" bestFit="1" customWidth="1"/>
    <col min="3332" max="3332" width="14.7109375" bestFit="1" customWidth="1"/>
    <col min="3333" max="3333" width="12.42578125" customWidth="1"/>
    <col min="3334" max="3334" width="16.140625" bestFit="1" customWidth="1"/>
    <col min="3335" max="3335" width="16.140625" customWidth="1"/>
    <col min="3336" max="3336" width="15.5703125" bestFit="1" customWidth="1"/>
    <col min="3337" max="3337" width="16.140625" bestFit="1" customWidth="1"/>
    <col min="3338" max="3338" width="14.7109375" customWidth="1"/>
    <col min="3339" max="3339" width="10.5703125" customWidth="1"/>
    <col min="3340" max="3340" width="14.28515625" bestFit="1" customWidth="1"/>
    <col min="3341" max="3341" width="13.5703125" customWidth="1"/>
    <col min="3342" max="3342" width="16.140625" bestFit="1" customWidth="1"/>
    <col min="3343" max="3343" width="15.28515625" customWidth="1"/>
    <col min="3344" max="3344" width="16.28515625" customWidth="1"/>
    <col min="3345" max="3345" width="12.42578125" customWidth="1"/>
    <col min="3346" max="3346" width="11.85546875" customWidth="1"/>
    <col min="3585" max="3585" width="28" customWidth="1"/>
    <col min="3586" max="3586" width="9.140625" customWidth="1"/>
    <col min="3587" max="3587" width="13.42578125" bestFit="1" customWidth="1"/>
    <col min="3588" max="3588" width="14.7109375" bestFit="1" customWidth="1"/>
    <col min="3589" max="3589" width="12.42578125" customWidth="1"/>
    <col min="3590" max="3590" width="16.140625" bestFit="1" customWidth="1"/>
    <col min="3591" max="3591" width="16.140625" customWidth="1"/>
    <col min="3592" max="3592" width="15.5703125" bestFit="1" customWidth="1"/>
    <col min="3593" max="3593" width="16.140625" bestFit="1" customWidth="1"/>
    <col min="3594" max="3594" width="14.7109375" customWidth="1"/>
    <col min="3595" max="3595" width="10.5703125" customWidth="1"/>
    <col min="3596" max="3596" width="14.28515625" bestFit="1" customWidth="1"/>
    <col min="3597" max="3597" width="13.5703125" customWidth="1"/>
    <col min="3598" max="3598" width="16.140625" bestFit="1" customWidth="1"/>
    <col min="3599" max="3599" width="15.28515625" customWidth="1"/>
    <col min="3600" max="3600" width="16.28515625" customWidth="1"/>
    <col min="3601" max="3601" width="12.42578125" customWidth="1"/>
    <col min="3602" max="3602" width="11.85546875" customWidth="1"/>
    <col min="3841" max="3841" width="28" customWidth="1"/>
    <col min="3842" max="3842" width="9.140625" customWidth="1"/>
    <col min="3843" max="3843" width="13.42578125" bestFit="1" customWidth="1"/>
    <col min="3844" max="3844" width="14.7109375" bestFit="1" customWidth="1"/>
    <col min="3845" max="3845" width="12.42578125" customWidth="1"/>
    <col min="3846" max="3846" width="16.140625" bestFit="1" customWidth="1"/>
    <col min="3847" max="3847" width="16.140625" customWidth="1"/>
    <col min="3848" max="3848" width="15.5703125" bestFit="1" customWidth="1"/>
    <col min="3849" max="3849" width="16.140625" bestFit="1" customWidth="1"/>
    <col min="3850" max="3850" width="14.7109375" customWidth="1"/>
    <col min="3851" max="3851" width="10.5703125" customWidth="1"/>
    <col min="3852" max="3852" width="14.28515625" bestFit="1" customWidth="1"/>
    <col min="3853" max="3853" width="13.5703125" customWidth="1"/>
    <col min="3854" max="3854" width="16.140625" bestFit="1" customWidth="1"/>
    <col min="3855" max="3855" width="15.28515625" customWidth="1"/>
    <col min="3856" max="3856" width="16.28515625" customWidth="1"/>
    <col min="3857" max="3857" width="12.42578125" customWidth="1"/>
    <col min="3858" max="3858" width="11.85546875" customWidth="1"/>
    <col min="4097" max="4097" width="28" customWidth="1"/>
    <col min="4098" max="4098" width="9.140625" customWidth="1"/>
    <col min="4099" max="4099" width="13.42578125" bestFit="1" customWidth="1"/>
    <col min="4100" max="4100" width="14.7109375" bestFit="1" customWidth="1"/>
    <col min="4101" max="4101" width="12.42578125" customWidth="1"/>
    <col min="4102" max="4102" width="16.140625" bestFit="1" customWidth="1"/>
    <col min="4103" max="4103" width="16.140625" customWidth="1"/>
    <col min="4104" max="4104" width="15.5703125" bestFit="1" customWidth="1"/>
    <col min="4105" max="4105" width="16.140625" bestFit="1" customWidth="1"/>
    <col min="4106" max="4106" width="14.7109375" customWidth="1"/>
    <col min="4107" max="4107" width="10.5703125" customWidth="1"/>
    <col min="4108" max="4108" width="14.28515625" bestFit="1" customWidth="1"/>
    <col min="4109" max="4109" width="13.5703125" customWidth="1"/>
    <col min="4110" max="4110" width="16.140625" bestFit="1" customWidth="1"/>
    <col min="4111" max="4111" width="15.28515625" customWidth="1"/>
    <col min="4112" max="4112" width="16.28515625" customWidth="1"/>
    <col min="4113" max="4113" width="12.42578125" customWidth="1"/>
    <col min="4114" max="4114" width="11.85546875" customWidth="1"/>
    <col min="4353" max="4353" width="28" customWidth="1"/>
    <col min="4354" max="4354" width="9.140625" customWidth="1"/>
    <col min="4355" max="4355" width="13.42578125" bestFit="1" customWidth="1"/>
    <col min="4356" max="4356" width="14.7109375" bestFit="1" customWidth="1"/>
    <col min="4357" max="4357" width="12.42578125" customWidth="1"/>
    <col min="4358" max="4358" width="16.140625" bestFit="1" customWidth="1"/>
    <col min="4359" max="4359" width="16.140625" customWidth="1"/>
    <col min="4360" max="4360" width="15.5703125" bestFit="1" customWidth="1"/>
    <col min="4361" max="4361" width="16.140625" bestFit="1" customWidth="1"/>
    <col min="4362" max="4362" width="14.7109375" customWidth="1"/>
    <col min="4363" max="4363" width="10.5703125" customWidth="1"/>
    <col min="4364" max="4364" width="14.28515625" bestFit="1" customWidth="1"/>
    <col min="4365" max="4365" width="13.5703125" customWidth="1"/>
    <col min="4366" max="4366" width="16.140625" bestFit="1" customWidth="1"/>
    <col min="4367" max="4367" width="15.28515625" customWidth="1"/>
    <col min="4368" max="4368" width="16.28515625" customWidth="1"/>
    <col min="4369" max="4369" width="12.42578125" customWidth="1"/>
    <col min="4370" max="4370" width="11.85546875" customWidth="1"/>
    <col min="4609" max="4609" width="28" customWidth="1"/>
    <col min="4610" max="4610" width="9.140625" customWidth="1"/>
    <col min="4611" max="4611" width="13.42578125" bestFit="1" customWidth="1"/>
    <col min="4612" max="4612" width="14.7109375" bestFit="1" customWidth="1"/>
    <col min="4613" max="4613" width="12.42578125" customWidth="1"/>
    <col min="4614" max="4614" width="16.140625" bestFit="1" customWidth="1"/>
    <col min="4615" max="4615" width="16.140625" customWidth="1"/>
    <col min="4616" max="4616" width="15.5703125" bestFit="1" customWidth="1"/>
    <col min="4617" max="4617" width="16.140625" bestFit="1" customWidth="1"/>
    <col min="4618" max="4618" width="14.7109375" customWidth="1"/>
    <col min="4619" max="4619" width="10.5703125" customWidth="1"/>
    <col min="4620" max="4620" width="14.28515625" bestFit="1" customWidth="1"/>
    <col min="4621" max="4621" width="13.5703125" customWidth="1"/>
    <col min="4622" max="4622" width="16.140625" bestFit="1" customWidth="1"/>
    <col min="4623" max="4623" width="15.28515625" customWidth="1"/>
    <col min="4624" max="4624" width="16.28515625" customWidth="1"/>
    <col min="4625" max="4625" width="12.42578125" customWidth="1"/>
    <col min="4626" max="4626" width="11.85546875" customWidth="1"/>
    <col min="4865" max="4865" width="28" customWidth="1"/>
    <col min="4866" max="4866" width="9.140625" customWidth="1"/>
    <col min="4867" max="4867" width="13.42578125" bestFit="1" customWidth="1"/>
    <col min="4868" max="4868" width="14.7109375" bestFit="1" customWidth="1"/>
    <col min="4869" max="4869" width="12.42578125" customWidth="1"/>
    <col min="4870" max="4870" width="16.140625" bestFit="1" customWidth="1"/>
    <col min="4871" max="4871" width="16.140625" customWidth="1"/>
    <col min="4872" max="4872" width="15.5703125" bestFit="1" customWidth="1"/>
    <col min="4873" max="4873" width="16.140625" bestFit="1" customWidth="1"/>
    <col min="4874" max="4874" width="14.7109375" customWidth="1"/>
    <col min="4875" max="4875" width="10.5703125" customWidth="1"/>
    <col min="4876" max="4876" width="14.28515625" bestFit="1" customWidth="1"/>
    <col min="4877" max="4877" width="13.5703125" customWidth="1"/>
    <col min="4878" max="4878" width="16.140625" bestFit="1" customWidth="1"/>
    <col min="4879" max="4879" width="15.28515625" customWidth="1"/>
    <col min="4880" max="4880" width="16.28515625" customWidth="1"/>
    <col min="4881" max="4881" width="12.42578125" customWidth="1"/>
    <col min="4882" max="4882" width="11.85546875" customWidth="1"/>
    <col min="5121" max="5121" width="28" customWidth="1"/>
    <col min="5122" max="5122" width="9.140625" customWidth="1"/>
    <col min="5123" max="5123" width="13.42578125" bestFit="1" customWidth="1"/>
    <col min="5124" max="5124" width="14.7109375" bestFit="1" customWidth="1"/>
    <col min="5125" max="5125" width="12.42578125" customWidth="1"/>
    <col min="5126" max="5126" width="16.140625" bestFit="1" customWidth="1"/>
    <col min="5127" max="5127" width="16.140625" customWidth="1"/>
    <col min="5128" max="5128" width="15.5703125" bestFit="1" customWidth="1"/>
    <col min="5129" max="5129" width="16.140625" bestFit="1" customWidth="1"/>
    <col min="5130" max="5130" width="14.7109375" customWidth="1"/>
    <col min="5131" max="5131" width="10.5703125" customWidth="1"/>
    <col min="5132" max="5132" width="14.28515625" bestFit="1" customWidth="1"/>
    <col min="5133" max="5133" width="13.5703125" customWidth="1"/>
    <col min="5134" max="5134" width="16.140625" bestFit="1" customWidth="1"/>
    <col min="5135" max="5135" width="15.28515625" customWidth="1"/>
    <col min="5136" max="5136" width="16.28515625" customWidth="1"/>
    <col min="5137" max="5137" width="12.42578125" customWidth="1"/>
    <col min="5138" max="5138" width="11.85546875" customWidth="1"/>
    <col min="5377" max="5377" width="28" customWidth="1"/>
    <col min="5378" max="5378" width="9.140625" customWidth="1"/>
    <col min="5379" max="5379" width="13.42578125" bestFit="1" customWidth="1"/>
    <col min="5380" max="5380" width="14.7109375" bestFit="1" customWidth="1"/>
    <col min="5381" max="5381" width="12.42578125" customWidth="1"/>
    <col min="5382" max="5382" width="16.140625" bestFit="1" customWidth="1"/>
    <col min="5383" max="5383" width="16.140625" customWidth="1"/>
    <col min="5384" max="5384" width="15.5703125" bestFit="1" customWidth="1"/>
    <col min="5385" max="5385" width="16.140625" bestFit="1" customWidth="1"/>
    <col min="5386" max="5386" width="14.7109375" customWidth="1"/>
    <col min="5387" max="5387" width="10.5703125" customWidth="1"/>
    <col min="5388" max="5388" width="14.28515625" bestFit="1" customWidth="1"/>
    <col min="5389" max="5389" width="13.5703125" customWidth="1"/>
    <col min="5390" max="5390" width="16.140625" bestFit="1" customWidth="1"/>
    <col min="5391" max="5391" width="15.28515625" customWidth="1"/>
    <col min="5392" max="5392" width="16.28515625" customWidth="1"/>
    <col min="5393" max="5393" width="12.42578125" customWidth="1"/>
    <col min="5394" max="5394" width="11.85546875" customWidth="1"/>
    <col min="5633" max="5633" width="28" customWidth="1"/>
    <col min="5634" max="5634" width="9.140625" customWidth="1"/>
    <col min="5635" max="5635" width="13.42578125" bestFit="1" customWidth="1"/>
    <col min="5636" max="5636" width="14.7109375" bestFit="1" customWidth="1"/>
    <col min="5637" max="5637" width="12.42578125" customWidth="1"/>
    <col min="5638" max="5638" width="16.140625" bestFit="1" customWidth="1"/>
    <col min="5639" max="5639" width="16.140625" customWidth="1"/>
    <col min="5640" max="5640" width="15.5703125" bestFit="1" customWidth="1"/>
    <col min="5641" max="5641" width="16.140625" bestFit="1" customWidth="1"/>
    <col min="5642" max="5642" width="14.7109375" customWidth="1"/>
    <col min="5643" max="5643" width="10.5703125" customWidth="1"/>
    <col min="5644" max="5644" width="14.28515625" bestFit="1" customWidth="1"/>
    <col min="5645" max="5645" width="13.5703125" customWidth="1"/>
    <col min="5646" max="5646" width="16.140625" bestFit="1" customWidth="1"/>
    <col min="5647" max="5647" width="15.28515625" customWidth="1"/>
    <col min="5648" max="5648" width="16.28515625" customWidth="1"/>
    <col min="5649" max="5649" width="12.42578125" customWidth="1"/>
    <col min="5650" max="5650" width="11.85546875" customWidth="1"/>
    <col min="5889" max="5889" width="28" customWidth="1"/>
    <col min="5890" max="5890" width="9.140625" customWidth="1"/>
    <col min="5891" max="5891" width="13.42578125" bestFit="1" customWidth="1"/>
    <col min="5892" max="5892" width="14.7109375" bestFit="1" customWidth="1"/>
    <col min="5893" max="5893" width="12.42578125" customWidth="1"/>
    <col min="5894" max="5894" width="16.140625" bestFit="1" customWidth="1"/>
    <col min="5895" max="5895" width="16.140625" customWidth="1"/>
    <col min="5896" max="5896" width="15.5703125" bestFit="1" customWidth="1"/>
    <col min="5897" max="5897" width="16.140625" bestFit="1" customWidth="1"/>
    <col min="5898" max="5898" width="14.7109375" customWidth="1"/>
    <col min="5899" max="5899" width="10.5703125" customWidth="1"/>
    <col min="5900" max="5900" width="14.28515625" bestFit="1" customWidth="1"/>
    <col min="5901" max="5901" width="13.5703125" customWidth="1"/>
    <col min="5902" max="5902" width="16.140625" bestFit="1" customWidth="1"/>
    <col min="5903" max="5903" width="15.28515625" customWidth="1"/>
    <col min="5904" max="5904" width="16.28515625" customWidth="1"/>
    <col min="5905" max="5905" width="12.42578125" customWidth="1"/>
    <col min="5906" max="5906" width="11.85546875" customWidth="1"/>
    <col min="6145" max="6145" width="28" customWidth="1"/>
    <col min="6146" max="6146" width="9.140625" customWidth="1"/>
    <col min="6147" max="6147" width="13.42578125" bestFit="1" customWidth="1"/>
    <col min="6148" max="6148" width="14.7109375" bestFit="1" customWidth="1"/>
    <col min="6149" max="6149" width="12.42578125" customWidth="1"/>
    <col min="6150" max="6150" width="16.140625" bestFit="1" customWidth="1"/>
    <col min="6151" max="6151" width="16.140625" customWidth="1"/>
    <col min="6152" max="6152" width="15.5703125" bestFit="1" customWidth="1"/>
    <col min="6153" max="6153" width="16.140625" bestFit="1" customWidth="1"/>
    <col min="6154" max="6154" width="14.7109375" customWidth="1"/>
    <col min="6155" max="6155" width="10.5703125" customWidth="1"/>
    <col min="6156" max="6156" width="14.28515625" bestFit="1" customWidth="1"/>
    <col min="6157" max="6157" width="13.5703125" customWidth="1"/>
    <col min="6158" max="6158" width="16.140625" bestFit="1" customWidth="1"/>
    <col min="6159" max="6159" width="15.28515625" customWidth="1"/>
    <col min="6160" max="6160" width="16.28515625" customWidth="1"/>
    <col min="6161" max="6161" width="12.42578125" customWidth="1"/>
    <col min="6162" max="6162" width="11.85546875" customWidth="1"/>
    <col min="6401" max="6401" width="28" customWidth="1"/>
    <col min="6402" max="6402" width="9.140625" customWidth="1"/>
    <col min="6403" max="6403" width="13.42578125" bestFit="1" customWidth="1"/>
    <col min="6404" max="6404" width="14.7109375" bestFit="1" customWidth="1"/>
    <col min="6405" max="6405" width="12.42578125" customWidth="1"/>
    <col min="6406" max="6406" width="16.140625" bestFit="1" customWidth="1"/>
    <col min="6407" max="6407" width="16.140625" customWidth="1"/>
    <col min="6408" max="6408" width="15.5703125" bestFit="1" customWidth="1"/>
    <col min="6409" max="6409" width="16.140625" bestFit="1" customWidth="1"/>
    <col min="6410" max="6410" width="14.7109375" customWidth="1"/>
    <col min="6411" max="6411" width="10.5703125" customWidth="1"/>
    <col min="6412" max="6412" width="14.28515625" bestFit="1" customWidth="1"/>
    <col min="6413" max="6413" width="13.5703125" customWidth="1"/>
    <col min="6414" max="6414" width="16.140625" bestFit="1" customWidth="1"/>
    <col min="6415" max="6415" width="15.28515625" customWidth="1"/>
    <col min="6416" max="6416" width="16.28515625" customWidth="1"/>
    <col min="6417" max="6417" width="12.42578125" customWidth="1"/>
    <col min="6418" max="6418" width="11.85546875" customWidth="1"/>
    <col min="6657" max="6657" width="28" customWidth="1"/>
    <col min="6658" max="6658" width="9.140625" customWidth="1"/>
    <col min="6659" max="6659" width="13.42578125" bestFit="1" customWidth="1"/>
    <col min="6660" max="6660" width="14.7109375" bestFit="1" customWidth="1"/>
    <col min="6661" max="6661" width="12.42578125" customWidth="1"/>
    <col min="6662" max="6662" width="16.140625" bestFit="1" customWidth="1"/>
    <col min="6663" max="6663" width="16.140625" customWidth="1"/>
    <col min="6664" max="6664" width="15.5703125" bestFit="1" customWidth="1"/>
    <col min="6665" max="6665" width="16.140625" bestFit="1" customWidth="1"/>
    <col min="6666" max="6666" width="14.7109375" customWidth="1"/>
    <col min="6667" max="6667" width="10.5703125" customWidth="1"/>
    <col min="6668" max="6668" width="14.28515625" bestFit="1" customWidth="1"/>
    <col min="6669" max="6669" width="13.5703125" customWidth="1"/>
    <col min="6670" max="6670" width="16.140625" bestFit="1" customWidth="1"/>
    <col min="6671" max="6671" width="15.28515625" customWidth="1"/>
    <col min="6672" max="6672" width="16.28515625" customWidth="1"/>
    <col min="6673" max="6673" width="12.42578125" customWidth="1"/>
    <col min="6674" max="6674" width="11.85546875" customWidth="1"/>
    <col min="6913" max="6913" width="28" customWidth="1"/>
    <col min="6914" max="6914" width="9.140625" customWidth="1"/>
    <col min="6915" max="6915" width="13.42578125" bestFit="1" customWidth="1"/>
    <col min="6916" max="6916" width="14.7109375" bestFit="1" customWidth="1"/>
    <col min="6917" max="6917" width="12.42578125" customWidth="1"/>
    <col min="6918" max="6918" width="16.140625" bestFit="1" customWidth="1"/>
    <col min="6919" max="6919" width="16.140625" customWidth="1"/>
    <col min="6920" max="6920" width="15.5703125" bestFit="1" customWidth="1"/>
    <col min="6921" max="6921" width="16.140625" bestFit="1" customWidth="1"/>
    <col min="6922" max="6922" width="14.7109375" customWidth="1"/>
    <col min="6923" max="6923" width="10.5703125" customWidth="1"/>
    <col min="6924" max="6924" width="14.28515625" bestFit="1" customWidth="1"/>
    <col min="6925" max="6925" width="13.5703125" customWidth="1"/>
    <col min="6926" max="6926" width="16.140625" bestFit="1" customWidth="1"/>
    <col min="6927" max="6927" width="15.28515625" customWidth="1"/>
    <col min="6928" max="6928" width="16.28515625" customWidth="1"/>
    <col min="6929" max="6929" width="12.42578125" customWidth="1"/>
    <col min="6930" max="6930" width="11.85546875" customWidth="1"/>
    <col min="7169" max="7169" width="28" customWidth="1"/>
    <col min="7170" max="7170" width="9.140625" customWidth="1"/>
    <col min="7171" max="7171" width="13.42578125" bestFit="1" customWidth="1"/>
    <col min="7172" max="7172" width="14.7109375" bestFit="1" customWidth="1"/>
    <col min="7173" max="7173" width="12.42578125" customWidth="1"/>
    <col min="7174" max="7174" width="16.140625" bestFit="1" customWidth="1"/>
    <col min="7175" max="7175" width="16.140625" customWidth="1"/>
    <col min="7176" max="7176" width="15.5703125" bestFit="1" customWidth="1"/>
    <col min="7177" max="7177" width="16.140625" bestFit="1" customWidth="1"/>
    <col min="7178" max="7178" width="14.7109375" customWidth="1"/>
    <col min="7179" max="7179" width="10.5703125" customWidth="1"/>
    <col min="7180" max="7180" width="14.28515625" bestFit="1" customWidth="1"/>
    <col min="7181" max="7181" width="13.5703125" customWidth="1"/>
    <col min="7182" max="7182" width="16.140625" bestFit="1" customWidth="1"/>
    <col min="7183" max="7183" width="15.28515625" customWidth="1"/>
    <col min="7184" max="7184" width="16.28515625" customWidth="1"/>
    <col min="7185" max="7185" width="12.42578125" customWidth="1"/>
    <col min="7186" max="7186" width="11.85546875" customWidth="1"/>
    <col min="7425" max="7425" width="28" customWidth="1"/>
    <col min="7426" max="7426" width="9.140625" customWidth="1"/>
    <col min="7427" max="7427" width="13.42578125" bestFit="1" customWidth="1"/>
    <col min="7428" max="7428" width="14.7109375" bestFit="1" customWidth="1"/>
    <col min="7429" max="7429" width="12.42578125" customWidth="1"/>
    <col min="7430" max="7430" width="16.140625" bestFit="1" customWidth="1"/>
    <col min="7431" max="7431" width="16.140625" customWidth="1"/>
    <col min="7432" max="7432" width="15.5703125" bestFit="1" customWidth="1"/>
    <col min="7433" max="7433" width="16.140625" bestFit="1" customWidth="1"/>
    <col min="7434" max="7434" width="14.7109375" customWidth="1"/>
    <col min="7435" max="7435" width="10.5703125" customWidth="1"/>
    <col min="7436" max="7436" width="14.28515625" bestFit="1" customWidth="1"/>
    <col min="7437" max="7437" width="13.5703125" customWidth="1"/>
    <col min="7438" max="7438" width="16.140625" bestFit="1" customWidth="1"/>
    <col min="7439" max="7439" width="15.28515625" customWidth="1"/>
    <col min="7440" max="7440" width="16.28515625" customWidth="1"/>
    <col min="7441" max="7441" width="12.42578125" customWidth="1"/>
    <col min="7442" max="7442" width="11.85546875" customWidth="1"/>
    <col min="7681" max="7681" width="28" customWidth="1"/>
    <col min="7682" max="7682" width="9.140625" customWidth="1"/>
    <col min="7683" max="7683" width="13.42578125" bestFit="1" customWidth="1"/>
    <col min="7684" max="7684" width="14.7109375" bestFit="1" customWidth="1"/>
    <col min="7685" max="7685" width="12.42578125" customWidth="1"/>
    <col min="7686" max="7686" width="16.140625" bestFit="1" customWidth="1"/>
    <col min="7687" max="7687" width="16.140625" customWidth="1"/>
    <col min="7688" max="7688" width="15.5703125" bestFit="1" customWidth="1"/>
    <col min="7689" max="7689" width="16.140625" bestFit="1" customWidth="1"/>
    <col min="7690" max="7690" width="14.7109375" customWidth="1"/>
    <col min="7691" max="7691" width="10.5703125" customWidth="1"/>
    <col min="7692" max="7692" width="14.28515625" bestFit="1" customWidth="1"/>
    <col min="7693" max="7693" width="13.5703125" customWidth="1"/>
    <col min="7694" max="7694" width="16.140625" bestFit="1" customWidth="1"/>
    <col min="7695" max="7695" width="15.28515625" customWidth="1"/>
    <col min="7696" max="7696" width="16.28515625" customWidth="1"/>
    <col min="7697" max="7697" width="12.42578125" customWidth="1"/>
    <col min="7698" max="7698" width="11.85546875" customWidth="1"/>
    <col min="7937" max="7937" width="28" customWidth="1"/>
    <col min="7938" max="7938" width="9.140625" customWidth="1"/>
    <col min="7939" max="7939" width="13.42578125" bestFit="1" customWidth="1"/>
    <col min="7940" max="7940" width="14.7109375" bestFit="1" customWidth="1"/>
    <col min="7941" max="7941" width="12.42578125" customWidth="1"/>
    <col min="7942" max="7942" width="16.140625" bestFit="1" customWidth="1"/>
    <col min="7943" max="7943" width="16.140625" customWidth="1"/>
    <col min="7944" max="7944" width="15.5703125" bestFit="1" customWidth="1"/>
    <col min="7945" max="7945" width="16.140625" bestFit="1" customWidth="1"/>
    <col min="7946" max="7946" width="14.7109375" customWidth="1"/>
    <col min="7947" max="7947" width="10.5703125" customWidth="1"/>
    <col min="7948" max="7948" width="14.28515625" bestFit="1" customWidth="1"/>
    <col min="7949" max="7949" width="13.5703125" customWidth="1"/>
    <col min="7950" max="7950" width="16.140625" bestFit="1" customWidth="1"/>
    <col min="7951" max="7951" width="15.28515625" customWidth="1"/>
    <col min="7952" max="7952" width="16.28515625" customWidth="1"/>
    <col min="7953" max="7953" width="12.42578125" customWidth="1"/>
    <col min="7954" max="7954" width="11.85546875" customWidth="1"/>
    <col min="8193" max="8193" width="28" customWidth="1"/>
    <col min="8194" max="8194" width="9.140625" customWidth="1"/>
    <col min="8195" max="8195" width="13.42578125" bestFit="1" customWidth="1"/>
    <col min="8196" max="8196" width="14.7109375" bestFit="1" customWidth="1"/>
    <col min="8197" max="8197" width="12.42578125" customWidth="1"/>
    <col min="8198" max="8198" width="16.140625" bestFit="1" customWidth="1"/>
    <col min="8199" max="8199" width="16.140625" customWidth="1"/>
    <col min="8200" max="8200" width="15.5703125" bestFit="1" customWidth="1"/>
    <col min="8201" max="8201" width="16.140625" bestFit="1" customWidth="1"/>
    <col min="8202" max="8202" width="14.7109375" customWidth="1"/>
    <col min="8203" max="8203" width="10.5703125" customWidth="1"/>
    <col min="8204" max="8204" width="14.28515625" bestFit="1" customWidth="1"/>
    <col min="8205" max="8205" width="13.5703125" customWidth="1"/>
    <col min="8206" max="8206" width="16.140625" bestFit="1" customWidth="1"/>
    <col min="8207" max="8207" width="15.28515625" customWidth="1"/>
    <col min="8208" max="8208" width="16.28515625" customWidth="1"/>
    <col min="8209" max="8209" width="12.42578125" customWidth="1"/>
    <col min="8210" max="8210" width="11.85546875" customWidth="1"/>
    <col min="8449" max="8449" width="28" customWidth="1"/>
    <col min="8450" max="8450" width="9.140625" customWidth="1"/>
    <col min="8451" max="8451" width="13.42578125" bestFit="1" customWidth="1"/>
    <col min="8452" max="8452" width="14.7109375" bestFit="1" customWidth="1"/>
    <col min="8453" max="8453" width="12.42578125" customWidth="1"/>
    <col min="8454" max="8454" width="16.140625" bestFit="1" customWidth="1"/>
    <col min="8455" max="8455" width="16.140625" customWidth="1"/>
    <col min="8456" max="8456" width="15.5703125" bestFit="1" customWidth="1"/>
    <col min="8457" max="8457" width="16.140625" bestFit="1" customWidth="1"/>
    <col min="8458" max="8458" width="14.7109375" customWidth="1"/>
    <col min="8459" max="8459" width="10.5703125" customWidth="1"/>
    <col min="8460" max="8460" width="14.28515625" bestFit="1" customWidth="1"/>
    <col min="8461" max="8461" width="13.5703125" customWidth="1"/>
    <col min="8462" max="8462" width="16.140625" bestFit="1" customWidth="1"/>
    <col min="8463" max="8463" width="15.28515625" customWidth="1"/>
    <col min="8464" max="8464" width="16.28515625" customWidth="1"/>
    <col min="8465" max="8465" width="12.42578125" customWidth="1"/>
    <col min="8466" max="8466" width="11.85546875" customWidth="1"/>
    <col min="8705" max="8705" width="28" customWidth="1"/>
    <col min="8706" max="8706" width="9.140625" customWidth="1"/>
    <col min="8707" max="8707" width="13.42578125" bestFit="1" customWidth="1"/>
    <col min="8708" max="8708" width="14.7109375" bestFit="1" customWidth="1"/>
    <col min="8709" max="8709" width="12.42578125" customWidth="1"/>
    <col min="8710" max="8710" width="16.140625" bestFit="1" customWidth="1"/>
    <col min="8711" max="8711" width="16.140625" customWidth="1"/>
    <col min="8712" max="8712" width="15.5703125" bestFit="1" customWidth="1"/>
    <col min="8713" max="8713" width="16.140625" bestFit="1" customWidth="1"/>
    <col min="8714" max="8714" width="14.7109375" customWidth="1"/>
    <col min="8715" max="8715" width="10.5703125" customWidth="1"/>
    <col min="8716" max="8716" width="14.28515625" bestFit="1" customWidth="1"/>
    <col min="8717" max="8717" width="13.5703125" customWidth="1"/>
    <col min="8718" max="8718" width="16.140625" bestFit="1" customWidth="1"/>
    <col min="8719" max="8719" width="15.28515625" customWidth="1"/>
    <col min="8720" max="8720" width="16.28515625" customWidth="1"/>
    <col min="8721" max="8721" width="12.42578125" customWidth="1"/>
    <col min="8722" max="8722" width="11.85546875" customWidth="1"/>
    <col min="8961" max="8961" width="28" customWidth="1"/>
    <col min="8962" max="8962" width="9.140625" customWidth="1"/>
    <col min="8963" max="8963" width="13.42578125" bestFit="1" customWidth="1"/>
    <col min="8964" max="8964" width="14.7109375" bestFit="1" customWidth="1"/>
    <col min="8965" max="8965" width="12.42578125" customWidth="1"/>
    <col min="8966" max="8966" width="16.140625" bestFit="1" customWidth="1"/>
    <col min="8967" max="8967" width="16.140625" customWidth="1"/>
    <col min="8968" max="8968" width="15.5703125" bestFit="1" customWidth="1"/>
    <col min="8969" max="8969" width="16.140625" bestFit="1" customWidth="1"/>
    <col min="8970" max="8970" width="14.7109375" customWidth="1"/>
    <col min="8971" max="8971" width="10.5703125" customWidth="1"/>
    <col min="8972" max="8972" width="14.28515625" bestFit="1" customWidth="1"/>
    <col min="8973" max="8973" width="13.5703125" customWidth="1"/>
    <col min="8974" max="8974" width="16.140625" bestFit="1" customWidth="1"/>
    <col min="8975" max="8975" width="15.28515625" customWidth="1"/>
    <col min="8976" max="8976" width="16.28515625" customWidth="1"/>
    <col min="8977" max="8977" width="12.42578125" customWidth="1"/>
    <col min="8978" max="8978" width="11.85546875" customWidth="1"/>
    <col min="9217" max="9217" width="28" customWidth="1"/>
    <col min="9218" max="9218" width="9.140625" customWidth="1"/>
    <col min="9219" max="9219" width="13.42578125" bestFit="1" customWidth="1"/>
    <col min="9220" max="9220" width="14.7109375" bestFit="1" customWidth="1"/>
    <col min="9221" max="9221" width="12.42578125" customWidth="1"/>
    <col min="9222" max="9222" width="16.140625" bestFit="1" customWidth="1"/>
    <col min="9223" max="9223" width="16.140625" customWidth="1"/>
    <col min="9224" max="9224" width="15.5703125" bestFit="1" customWidth="1"/>
    <col min="9225" max="9225" width="16.140625" bestFit="1" customWidth="1"/>
    <col min="9226" max="9226" width="14.7109375" customWidth="1"/>
    <col min="9227" max="9227" width="10.5703125" customWidth="1"/>
    <col min="9228" max="9228" width="14.28515625" bestFit="1" customWidth="1"/>
    <col min="9229" max="9229" width="13.5703125" customWidth="1"/>
    <col min="9230" max="9230" width="16.140625" bestFit="1" customWidth="1"/>
    <col min="9231" max="9231" width="15.28515625" customWidth="1"/>
    <col min="9232" max="9232" width="16.28515625" customWidth="1"/>
    <col min="9233" max="9233" width="12.42578125" customWidth="1"/>
    <col min="9234" max="9234" width="11.85546875" customWidth="1"/>
    <col min="9473" max="9473" width="28" customWidth="1"/>
    <col min="9474" max="9474" width="9.140625" customWidth="1"/>
    <col min="9475" max="9475" width="13.42578125" bestFit="1" customWidth="1"/>
    <col min="9476" max="9476" width="14.7109375" bestFit="1" customWidth="1"/>
    <col min="9477" max="9477" width="12.42578125" customWidth="1"/>
    <col min="9478" max="9478" width="16.140625" bestFit="1" customWidth="1"/>
    <col min="9479" max="9479" width="16.140625" customWidth="1"/>
    <col min="9480" max="9480" width="15.5703125" bestFit="1" customWidth="1"/>
    <col min="9481" max="9481" width="16.140625" bestFit="1" customWidth="1"/>
    <col min="9482" max="9482" width="14.7109375" customWidth="1"/>
    <col min="9483" max="9483" width="10.5703125" customWidth="1"/>
    <col min="9484" max="9484" width="14.28515625" bestFit="1" customWidth="1"/>
    <col min="9485" max="9485" width="13.5703125" customWidth="1"/>
    <col min="9486" max="9486" width="16.140625" bestFit="1" customWidth="1"/>
    <col min="9487" max="9487" width="15.28515625" customWidth="1"/>
    <col min="9488" max="9488" width="16.28515625" customWidth="1"/>
    <col min="9489" max="9489" width="12.42578125" customWidth="1"/>
    <col min="9490" max="9490" width="11.85546875" customWidth="1"/>
    <col min="9729" max="9729" width="28" customWidth="1"/>
    <col min="9730" max="9730" width="9.140625" customWidth="1"/>
    <col min="9731" max="9731" width="13.42578125" bestFit="1" customWidth="1"/>
    <col min="9732" max="9732" width="14.7109375" bestFit="1" customWidth="1"/>
    <col min="9733" max="9733" width="12.42578125" customWidth="1"/>
    <col min="9734" max="9734" width="16.140625" bestFit="1" customWidth="1"/>
    <col min="9735" max="9735" width="16.140625" customWidth="1"/>
    <col min="9736" max="9736" width="15.5703125" bestFit="1" customWidth="1"/>
    <col min="9737" max="9737" width="16.140625" bestFit="1" customWidth="1"/>
    <col min="9738" max="9738" width="14.7109375" customWidth="1"/>
    <col min="9739" max="9739" width="10.5703125" customWidth="1"/>
    <col min="9740" max="9740" width="14.28515625" bestFit="1" customWidth="1"/>
    <col min="9741" max="9741" width="13.5703125" customWidth="1"/>
    <col min="9742" max="9742" width="16.140625" bestFit="1" customWidth="1"/>
    <col min="9743" max="9743" width="15.28515625" customWidth="1"/>
    <col min="9744" max="9744" width="16.28515625" customWidth="1"/>
    <col min="9745" max="9745" width="12.42578125" customWidth="1"/>
    <col min="9746" max="9746" width="11.85546875" customWidth="1"/>
    <col min="9985" max="9985" width="28" customWidth="1"/>
    <col min="9986" max="9986" width="9.140625" customWidth="1"/>
    <col min="9987" max="9987" width="13.42578125" bestFit="1" customWidth="1"/>
    <col min="9988" max="9988" width="14.7109375" bestFit="1" customWidth="1"/>
    <col min="9989" max="9989" width="12.42578125" customWidth="1"/>
    <col min="9990" max="9990" width="16.140625" bestFit="1" customWidth="1"/>
    <col min="9991" max="9991" width="16.140625" customWidth="1"/>
    <col min="9992" max="9992" width="15.5703125" bestFit="1" customWidth="1"/>
    <col min="9993" max="9993" width="16.140625" bestFit="1" customWidth="1"/>
    <col min="9994" max="9994" width="14.7109375" customWidth="1"/>
    <col min="9995" max="9995" width="10.5703125" customWidth="1"/>
    <col min="9996" max="9996" width="14.28515625" bestFit="1" customWidth="1"/>
    <col min="9997" max="9997" width="13.5703125" customWidth="1"/>
    <col min="9998" max="9998" width="16.140625" bestFit="1" customWidth="1"/>
    <col min="9999" max="9999" width="15.28515625" customWidth="1"/>
    <col min="10000" max="10000" width="16.28515625" customWidth="1"/>
    <col min="10001" max="10001" width="12.42578125" customWidth="1"/>
    <col min="10002" max="10002" width="11.85546875" customWidth="1"/>
    <col min="10241" max="10241" width="28" customWidth="1"/>
    <col min="10242" max="10242" width="9.140625" customWidth="1"/>
    <col min="10243" max="10243" width="13.42578125" bestFit="1" customWidth="1"/>
    <col min="10244" max="10244" width="14.7109375" bestFit="1" customWidth="1"/>
    <col min="10245" max="10245" width="12.42578125" customWidth="1"/>
    <col min="10246" max="10246" width="16.140625" bestFit="1" customWidth="1"/>
    <col min="10247" max="10247" width="16.140625" customWidth="1"/>
    <col min="10248" max="10248" width="15.5703125" bestFit="1" customWidth="1"/>
    <col min="10249" max="10249" width="16.140625" bestFit="1" customWidth="1"/>
    <col min="10250" max="10250" width="14.7109375" customWidth="1"/>
    <col min="10251" max="10251" width="10.5703125" customWidth="1"/>
    <col min="10252" max="10252" width="14.28515625" bestFit="1" customWidth="1"/>
    <col min="10253" max="10253" width="13.5703125" customWidth="1"/>
    <col min="10254" max="10254" width="16.140625" bestFit="1" customWidth="1"/>
    <col min="10255" max="10255" width="15.28515625" customWidth="1"/>
    <col min="10256" max="10256" width="16.28515625" customWidth="1"/>
    <col min="10257" max="10257" width="12.42578125" customWidth="1"/>
    <col min="10258" max="10258" width="11.85546875" customWidth="1"/>
    <col min="10497" max="10497" width="28" customWidth="1"/>
    <col min="10498" max="10498" width="9.140625" customWidth="1"/>
    <col min="10499" max="10499" width="13.42578125" bestFit="1" customWidth="1"/>
    <col min="10500" max="10500" width="14.7109375" bestFit="1" customWidth="1"/>
    <col min="10501" max="10501" width="12.42578125" customWidth="1"/>
    <col min="10502" max="10502" width="16.140625" bestFit="1" customWidth="1"/>
    <col min="10503" max="10503" width="16.140625" customWidth="1"/>
    <col min="10504" max="10504" width="15.5703125" bestFit="1" customWidth="1"/>
    <col min="10505" max="10505" width="16.140625" bestFit="1" customWidth="1"/>
    <col min="10506" max="10506" width="14.7109375" customWidth="1"/>
    <col min="10507" max="10507" width="10.5703125" customWidth="1"/>
    <col min="10508" max="10508" width="14.28515625" bestFit="1" customWidth="1"/>
    <col min="10509" max="10509" width="13.5703125" customWidth="1"/>
    <col min="10510" max="10510" width="16.140625" bestFit="1" customWidth="1"/>
    <col min="10511" max="10511" width="15.28515625" customWidth="1"/>
    <col min="10512" max="10512" width="16.28515625" customWidth="1"/>
    <col min="10513" max="10513" width="12.42578125" customWidth="1"/>
    <col min="10514" max="10514" width="11.85546875" customWidth="1"/>
    <col min="10753" max="10753" width="28" customWidth="1"/>
    <col min="10754" max="10754" width="9.140625" customWidth="1"/>
    <col min="10755" max="10755" width="13.42578125" bestFit="1" customWidth="1"/>
    <col min="10756" max="10756" width="14.7109375" bestFit="1" customWidth="1"/>
    <col min="10757" max="10757" width="12.42578125" customWidth="1"/>
    <col min="10758" max="10758" width="16.140625" bestFit="1" customWidth="1"/>
    <col min="10759" max="10759" width="16.140625" customWidth="1"/>
    <col min="10760" max="10760" width="15.5703125" bestFit="1" customWidth="1"/>
    <col min="10761" max="10761" width="16.140625" bestFit="1" customWidth="1"/>
    <col min="10762" max="10762" width="14.7109375" customWidth="1"/>
    <col min="10763" max="10763" width="10.5703125" customWidth="1"/>
    <col min="10764" max="10764" width="14.28515625" bestFit="1" customWidth="1"/>
    <col min="10765" max="10765" width="13.5703125" customWidth="1"/>
    <col min="10766" max="10766" width="16.140625" bestFit="1" customWidth="1"/>
    <col min="10767" max="10767" width="15.28515625" customWidth="1"/>
    <col min="10768" max="10768" width="16.28515625" customWidth="1"/>
    <col min="10769" max="10769" width="12.42578125" customWidth="1"/>
    <col min="10770" max="10770" width="11.85546875" customWidth="1"/>
    <col min="11009" max="11009" width="28" customWidth="1"/>
    <col min="11010" max="11010" width="9.140625" customWidth="1"/>
    <col min="11011" max="11011" width="13.42578125" bestFit="1" customWidth="1"/>
    <col min="11012" max="11012" width="14.7109375" bestFit="1" customWidth="1"/>
    <col min="11013" max="11013" width="12.42578125" customWidth="1"/>
    <col min="11014" max="11014" width="16.140625" bestFit="1" customWidth="1"/>
    <col min="11015" max="11015" width="16.140625" customWidth="1"/>
    <col min="11016" max="11016" width="15.5703125" bestFit="1" customWidth="1"/>
    <col min="11017" max="11017" width="16.140625" bestFit="1" customWidth="1"/>
    <col min="11018" max="11018" width="14.7109375" customWidth="1"/>
    <col min="11019" max="11019" width="10.5703125" customWidth="1"/>
    <col min="11020" max="11020" width="14.28515625" bestFit="1" customWidth="1"/>
    <col min="11021" max="11021" width="13.5703125" customWidth="1"/>
    <col min="11022" max="11022" width="16.140625" bestFit="1" customWidth="1"/>
    <col min="11023" max="11023" width="15.28515625" customWidth="1"/>
    <col min="11024" max="11024" width="16.28515625" customWidth="1"/>
    <col min="11025" max="11025" width="12.42578125" customWidth="1"/>
    <col min="11026" max="11026" width="11.85546875" customWidth="1"/>
    <col min="11265" max="11265" width="28" customWidth="1"/>
    <col min="11266" max="11266" width="9.140625" customWidth="1"/>
    <col min="11267" max="11267" width="13.42578125" bestFit="1" customWidth="1"/>
    <col min="11268" max="11268" width="14.7109375" bestFit="1" customWidth="1"/>
    <col min="11269" max="11269" width="12.42578125" customWidth="1"/>
    <col min="11270" max="11270" width="16.140625" bestFit="1" customWidth="1"/>
    <col min="11271" max="11271" width="16.140625" customWidth="1"/>
    <col min="11272" max="11272" width="15.5703125" bestFit="1" customWidth="1"/>
    <col min="11273" max="11273" width="16.140625" bestFit="1" customWidth="1"/>
    <col min="11274" max="11274" width="14.7109375" customWidth="1"/>
    <col min="11275" max="11275" width="10.5703125" customWidth="1"/>
    <col min="11276" max="11276" width="14.28515625" bestFit="1" customWidth="1"/>
    <col min="11277" max="11277" width="13.5703125" customWidth="1"/>
    <col min="11278" max="11278" width="16.140625" bestFit="1" customWidth="1"/>
    <col min="11279" max="11279" width="15.28515625" customWidth="1"/>
    <col min="11280" max="11280" width="16.28515625" customWidth="1"/>
    <col min="11281" max="11281" width="12.42578125" customWidth="1"/>
    <col min="11282" max="11282" width="11.85546875" customWidth="1"/>
    <col min="11521" max="11521" width="28" customWidth="1"/>
    <col min="11522" max="11522" width="9.140625" customWidth="1"/>
    <col min="11523" max="11523" width="13.42578125" bestFit="1" customWidth="1"/>
    <col min="11524" max="11524" width="14.7109375" bestFit="1" customWidth="1"/>
    <col min="11525" max="11525" width="12.42578125" customWidth="1"/>
    <col min="11526" max="11526" width="16.140625" bestFit="1" customWidth="1"/>
    <col min="11527" max="11527" width="16.140625" customWidth="1"/>
    <col min="11528" max="11528" width="15.5703125" bestFit="1" customWidth="1"/>
    <col min="11529" max="11529" width="16.140625" bestFit="1" customWidth="1"/>
    <col min="11530" max="11530" width="14.7109375" customWidth="1"/>
    <col min="11531" max="11531" width="10.5703125" customWidth="1"/>
    <col min="11532" max="11532" width="14.28515625" bestFit="1" customWidth="1"/>
    <col min="11533" max="11533" width="13.5703125" customWidth="1"/>
    <col min="11534" max="11534" width="16.140625" bestFit="1" customWidth="1"/>
    <col min="11535" max="11535" width="15.28515625" customWidth="1"/>
    <col min="11536" max="11536" width="16.28515625" customWidth="1"/>
    <col min="11537" max="11537" width="12.42578125" customWidth="1"/>
    <col min="11538" max="11538" width="11.85546875" customWidth="1"/>
    <col min="11777" max="11777" width="28" customWidth="1"/>
    <col min="11778" max="11778" width="9.140625" customWidth="1"/>
    <col min="11779" max="11779" width="13.42578125" bestFit="1" customWidth="1"/>
    <col min="11780" max="11780" width="14.7109375" bestFit="1" customWidth="1"/>
    <col min="11781" max="11781" width="12.42578125" customWidth="1"/>
    <col min="11782" max="11782" width="16.140625" bestFit="1" customWidth="1"/>
    <col min="11783" max="11783" width="16.140625" customWidth="1"/>
    <col min="11784" max="11784" width="15.5703125" bestFit="1" customWidth="1"/>
    <col min="11785" max="11785" width="16.140625" bestFit="1" customWidth="1"/>
    <col min="11786" max="11786" width="14.7109375" customWidth="1"/>
    <col min="11787" max="11787" width="10.5703125" customWidth="1"/>
    <col min="11788" max="11788" width="14.28515625" bestFit="1" customWidth="1"/>
    <col min="11789" max="11789" width="13.5703125" customWidth="1"/>
    <col min="11790" max="11790" width="16.140625" bestFit="1" customWidth="1"/>
    <col min="11791" max="11791" width="15.28515625" customWidth="1"/>
    <col min="11792" max="11792" width="16.28515625" customWidth="1"/>
    <col min="11793" max="11793" width="12.42578125" customWidth="1"/>
    <col min="11794" max="11794" width="11.85546875" customWidth="1"/>
    <col min="12033" max="12033" width="28" customWidth="1"/>
    <col min="12034" max="12034" width="9.140625" customWidth="1"/>
    <col min="12035" max="12035" width="13.42578125" bestFit="1" customWidth="1"/>
    <col min="12036" max="12036" width="14.7109375" bestFit="1" customWidth="1"/>
    <col min="12037" max="12037" width="12.42578125" customWidth="1"/>
    <col min="12038" max="12038" width="16.140625" bestFit="1" customWidth="1"/>
    <col min="12039" max="12039" width="16.140625" customWidth="1"/>
    <col min="12040" max="12040" width="15.5703125" bestFit="1" customWidth="1"/>
    <col min="12041" max="12041" width="16.140625" bestFit="1" customWidth="1"/>
    <col min="12042" max="12042" width="14.7109375" customWidth="1"/>
    <col min="12043" max="12043" width="10.5703125" customWidth="1"/>
    <col min="12044" max="12044" width="14.28515625" bestFit="1" customWidth="1"/>
    <col min="12045" max="12045" width="13.5703125" customWidth="1"/>
    <col min="12046" max="12046" width="16.140625" bestFit="1" customWidth="1"/>
    <col min="12047" max="12047" width="15.28515625" customWidth="1"/>
    <col min="12048" max="12048" width="16.28515625" customWidth="1"/>
    <col min="12049" max="12049" width="12.42578125" customWidth="1"/>
    <col min="12050" max="12050" width="11.85546875" customWidth="1"/>
    <col min="12289" max="12289" width="28" customWidth="1"/>
    <col min="12290" max="12290" width="9.140625" customWidth="1"/>
    <col min="12291" max="12291" width="13.42578125" bestFit="1" customWidth="1"/>
    <col min="12292" max="12292" width="14.7109375" bestFit="1" customWidth="1"/>
    <col min="12293" max="12293" width="12.42578125" customWidth="1"/>
    <col min="12294" max="12294" width="16.140625" bestFit="1" customWidth="1"/>
    <col min="12295" max="12295" width="16.140625" customWidth="1"/>
    <col min="12296" max="12296" width="15.5703125" bestFit="1" customWidth="1"/>
    <col min="12297" max="12297" width="16.140625" bestFit="1" customWidth="1"/>
    <col min="12298" max="12298" width="14.7109375" customWidth="1"/>
    <col min="12299" max="12299" width="10.5703125" customWidth="1"/>
    <col min="12300" max="12300" width="14.28515625" bestFit="1" customWidth="1"/>
    <col min="12301" max="12301" width="13.5703125" customWidth="1"/>
    <col min="12302" max="12302" width="16.140625" bestFit="1" customWidth="1"/>
    <col min="12303" max="12303" width="15.28515625" customWidth="1"/>
    <col min="12304" max="12304" width="16.28515625" customWidth="1"/>
    <col min="12305" max="12305" width="12.42578125" customWidth="1"/>
    <col min="12306" max="12306" width="11.85546875" customWidth="1"/>
    <col min="12545" max="12545" width="28" customWidth="1"/>
    <col min="12546" max="12546" width="9.140625" customWidth="1"/>
    <col min="12547" max="12547" width="13.42578125" bestFit="1" customWidth="1"/>
    <col min="12548" max="12548" width="14.7109375" bestFit="1" customWidth="1"/>
    <col min="12549" max="12549" width="12.42578125" customWidth="1"/>
    <col min="12550" max="12550" width="16.140625" bestFit="1" customWidth="1"/>
    <col min="12551" max="12551" width="16.140625" customWidth="1"/>
    <col min="12552" max="12552" width="15.5703125" bestFit="1" customWidth="1"/>
    <col min="12553" max="12553" width="16.140625" bestFit="1" customWidth="1"/>
    <col min="12554" max="12554" width="14.7109375" customWidth="1"/>
    <col min="12555" max="12555" width="10.5703125" customWidth="1"/>
    <col min="12556" max="12556" width="14.28515625" bestFit="1" customWidth="1"/>
    <col min="12557" max="12557" width="13.5703125" customWidth="1"/>
    <col min="12558" max="12558" width="16.140625" bestFit="1" customWidth="1"/>
    <col min="12559" max="12559" width="15.28515625" customWidth="1"/>
    <col min="12560" max="12560" width="16.28515625" customWidth="1"/>
    <col min="12561" max="12561" width="12.42578125" customWidth="1"/>
    <col min="12562" max="12562" width="11.85546875" customWidth="1"/>
    <col min="12801" max="12801" width="28" customWidth="1"/>
    <col min="12802" max="12802" width="9.140625" customWidth="1"/>
    <col min="12803" max="12803" width="13.42578125" bestFit="1" customWidth="1"/>
    <col min="12804" max="12804" width="14.7109375" bestFit="1" customWidth="1"/>
    <col min="12805" max="12805" width="12.42578125" customWidth="1"/>
    <col min="12806" max="12806" width="16.140625" bestFit="1" customWidth="1"/>
    <col min="12807" max="12807" width="16.140625" customWidth="1"/>
    <col min="12808" max="12808" width="15.5703125" bestFit="1" customWidth="1"/>
    <col min="12809" max="12809" width="16.140625" bestFit="1" customWidth="1"/>
    <col min="12810" max="12810" width="14.7109375" customWidth="1"/>
    <col min="12811" max="12811" width="10.5703125" customWidth="1"/>
    <col min="12812" max="12812" width="14.28515625" bestFit="1" customWidth="1"/>
    <col min="12813" max="12813" width="13.5703125" customWidth="1"/>
    <col min="12814" max="12814" width="16.140625" bestFit="1" customWidth="1"/>
    <col min="12815" max="12815" width="15.28515625" customWidth="1"/>
    <col min="12816" max="12816" width="16.28515625" customWidth="1"/>
    <col min="12817" max="12817" width="12.42578125" customWidth="1"/>
    <col min="12818" max="12818" width="11.85546875" customWidth="1"/>
    <col min="13057" max="13057" width="28" customWidth="1"/>
    <col min="13058" max="13058" width="9.140625" customWidth="1"/>
    <col min="13059" max="13059" width="13.42578125" bestFit="1" customWidth="1"/>
    <col min="13060" max="13060" width="14.7109375" bestFit="1" customWidth="1"/>
    <col min="13061" max="13061" width="12.42578125" customWidth="1"/>
    <col min="13062" max="13062" width="16.140625" bestFit="1" customWidth="1"/>
    <col min="13063" max="13063" width="16.140625" customWidth="1"/>
    <col min="13064" max="13064" width="15.5703125" bestFit="1" customWidth="1"/>
    <col min="13065" max="13065" width="16.140625" bestFit="1" customWidth="1"/>
    <col min="13066" max="13066" width="14.7109375" customWidth="1"/>
    <col min="13067" max="13067" width="10.5703125" customWidth="1"/>
    <col min="13068" max="13068" width="14.28515625" bestFit="1" customWidth="1"/>
    <col min="13069" max="13069" width="13.5703125" customWidth="1"/>
    <col min="13070" max="13070" width="16.140625" bestFit="1" customWidth="1"/>
    <col min="13071" max="13071" width="15.28515625" customWidth="1"/>
    <col min="13072" max="13072" width="16.28515625" customWidth="1"/>
    <col min="13073" max="13073" width="12.42578125" customWidth="1"/>
    <col min="13074" max="13074" width="11.85546875" customWidth="1"/>
    <col min="13313" max="13313" width="28" customWidth="1"/>
    <col min="13314" max="13314" width="9.140625" customWidth="1"/>
    <col min="13315" max="13315" width="13.42578125" bestFit="1" customWidth="1"/>
    <col min="13316" max="13316" width="14.7109375" bestFit="1" customWidth="1"/>
    <col min="13317" max="13317" width="12.42578125" customWidth="1"/>
    <col min="13318" max="13318" width="16.140625" bestFit="1" customWidth="1"/>
    <col min="13319" max="13319" width="16.140625" customWidth="1"/>
    <col min="13320" max="13320" width="15.5703125" bestFit="1" customWidth="1"/>
    <col min="13321" max="13321" width="16.140625" bestFit="1" customWidth="1"/>
    <col min="13322" max="13322" width="14.7109375" customWidth="1"/>
    <col min="13323" max="13323" width="10.5703125" customWidth="1"/>
    <col min="13324" max="13324" width="14.28515625" bestFit="1" customWidth="1"/>
    <col min="13325" max="13325" width="13.5703125" customWidth="1"/>
    <col min="13326" max="13326" width="16.140625" bestFit="1" customWidth="1"/>
    <col min="13327" max="13327" width="15.28515625" customWidth="1"/>
    <col min="13328" max="13328" width="16.28515625" customWidth="1"/>
    <col min="13329" max="13329" width="12.42578125" customWidth="1"/>
    <col min="13330" max="13330" width="11.85546875" customWidth="1"/>
    <col min="13569" max="13569" width="28" customWidth="1"/>
    <col min="13570" max="13570" width="9.140625" customWidth="1"/>
    <col min="13571" max="13571" width="13.42578125" bestFit="1" customWidth="1"/>
    <col min="13572" max="13572" width="14.7109375" bestFit="1" customWidth="1"/>
    <col min="13573" max="13573" width="12.42578125" customWidth="1"/>
    <col min="13574" max="13574" width="16.140625" bestFit="1" customWidth="1"/>
    <col min="13575" max="13575" width="16.140625" customWidth="1"/>
    <col min="13576" max="13576" width="15.5703125" bestFit="1" customWidth="1"/>
    <col min="13577" max="13577" width="16.140625" bestFit="1" customWidth="1"/>
    <col min="13578" max="13578" width="14.7109375" customWidth="1"/>
    <col min="13579" max="13579" width="10.5703125" customWidth="1"/>
    <col min="13580" max="13580" width="14.28515625" bestFit="1" customWidth="1"/>
    <col min="13581" max="13581" width="13.5703125" customWidth="1"/>
    <col min="13582" max="13582" width="16.140625" bestFit="1" customWidth="1"/>
    <col min="13583" max="13583" width="15.28515625" customWidth="1"/>
    <col min="13584" max="13584" width="16.28515625" customWidth="1"/>
    <col min="13585" max="13585" width="12.42578125" customWidth="1"/>
    <col min="13586" max="13586" width="11.85546875" customWidth="1"/>
    <col min="13825" max="13825" width="28" customWidth="1"/>
    <col min="13826" max="13826" width="9.140625" customWidth="1"/>
    <col min="13827" max="13827" width="13.42578125" bestFit="1" customWidth="1"/>
    <col min="13828" max="13828" width="14.7109375" bestFit="1" customWidth="1"/>
    <col min="13829" max="13829" width="12.42578125" customWidth="1"/>
    <col min="13830" max="13830" width="16.140625" bestFit="1" customWidth="1"/>
    <col min="13831" max="13831" width="16.140625" customWidth="1"/>
    <col min="13832" max="13832" width="15.5703125" bestFit="1" customWidth="1"/>
    <col min="13833" max="13833" width="16.140625" bestFit="1" customWidth="1"/>
    <col min="13834" max="13834" width="14.7109375" customWidth="1"/>
    <col min="13835" max="13835" width="10.5703125" customWidth="1"/>
    <col min="13836" max="13836" width="14.28515625" bestFit="1" customWidth="1"/>
    <col min="13837" max="13837" width="13.5703125" customWidth="1"/>
    <col min="13838" max="13838" width="16.140625" bestFit="1" customWidth="1"/>
    <col min="13839" max="13839" width="15.28515625" customWidth="1"/>
    <col min="13840" max="13840" width="16.28515625" customWidth="1"/>
    <col min="13841" max="13841" width="12.42578125" customWidth="1"/>
    <col min="13842" max="13842" width="11.85546875" customWidth="1"/>
    <col min="14081" max="14081" width="28" customWidth="1"/>
    <col min="14082" max="14082" width="9.140625" customWidth="1"/>
    <col min="14083" max="14083" width="13.42578125" bestFit="1" customWidth="1"/>
    <col min="14084" max="14084" width="14.7109375" bestFit="1" customWidth="1"/>
    <col min="14085" max="14085" width="12.42578125" customWidth="1"/>
    <col min="14086" max="14086" width="16.140625" bestFit="1" customWidth="1"/>
    <col min="14087" max="14087" width="16.140625" customWidth="1"/>
    <col min="14088" max="14088" width="15.5703125" bestFit="1" customWidth="1"/>
    <col min="14089" max="14089" width="16.140625" bestFit="1" customWidth="1"/>
    <col min="14090" max="14090" width="14.7109375" customWidth="1"/>
    <col min="14091" max="14091" width="10.5703125" customWidth="1"/>
    <col min="14092" max="14092" width="14.28515625" bestFit="1" customWidth="1"/>
    <col min="14093" max="14093" width="13.5703125" customWidth="1"/>
    <col min="14094" max="14094" width="16.140625" bestFit="1" customWidth="1"/>
    <col min="14095" max="14095" width="15.28515625" customWidth="1"/>
    <col min="14096" max="14096" width="16.28515625" customWidth="1"/>
    <col min="14097" max="14097" width="12.42578125" customWidth="1"/>
    <col min="14098" max="14098" width="11.85546875" customWidth="1"/>
    <col min="14337" max="14337" width="28" customWidth="1"/>
    <col min="14338" max="14338" width="9.140625" customWidth="1"/>
    <col min="14339" max="14339" width="13.42578125" bestFit="1" customWidth="1"/>
    <col min="14340" max="14340" width="14.7109375" bestFit="1" customWidth="1"/>
    <col min="14341" max="14341" width="12.42578125" customWidth="1"/>
    <col min="14342" max="14342" width="16.140625" bestFit="1" customWidth="1"/>
    <col min="14343" max="14343" width="16.140625" customWidth="1"/>
    <col min="14344" max="14344" width="15.5703125" bestFit="1" customWidth="1"/>
    <col min="14345" max="14345" width="16.140625" bestFit="1" customWidth="1"/>
    <col min="14346" max="14346" width="14.7109375" customWidth="1"/>
    <col min="14347" max="14347" width="10.5703125" customWidth="1"/>
    <col min="14348" max="14348" width="14.28515625" bestFit="1" customWidth="1"/>
    <col min="14349" max="14349" width="13.5703125" customWidth="1"/>
    <col min="14350" max="14350" width="16.140625" bestFit="1" customWidth="1"/>
    <col min="14351" max="14351" width="15.28515625" customWidth="1"/>
    <col min="14352" max="14352" width="16.28515625" customWidth="1"/>
    <col min="14353" max="14353" width="12.42578125" customWidth="1"/>
    <col min="14354" max="14354" width="11.85546875" customWidth="1"/>
    <col min="14593" max="14593" width="28" customWidth="1"/>
    <col min="14594" max="14594" width="9.140625" customWidth="1"/>
    <col min="14595" max="14595" width="13.42578125" bestFit="1" customWidth="1"/>
    <col min="14596" max="14596" width="14.7109375" bestFit="1" customWidth="1"/>
    <col min="14597" max="14597" width="12.42578125" customWidth="1"/>
    <col min="14598" max="14598" width="16.140625" bestFit="1" customWidth="1"/>
    <col min="14599" max="14599" width="16.140625" customWidth="1"/>
    <col min="14600" max="14600" width="15.5703125" bestFit="1" customWidth="1"/>
    <col min="14601" max="14601" width="16.140625" bestFit="1" customWidth="1"/>
    <col min="14602" max="14602" width="14.7109375" customWidth="1"/>
    <col min="14603" max="14603" width="10.5703125" customWidth="1"/>
    <col min="14604" max="14604" width="14.28515625" bestFit="1" customWidth="1"/>
    <col min="14605" max="14605" width="13.5703125" customWidth="1"/>
    <col min="14606" max="14606" width="16.140625" bestFit="1" customWidth="1"/>
    <col min="14607" max="14607" width="15.28515625" customWidth="1"/>
    <col min="14608" max="14608" width="16.28515625" customWidth="1"/>
    <col min="14609" max="14609" width="12.42578125" customWidth="1"/>
    <col min="14610" max="14610" width="11.85546875" customWidth="1"/>
    <col min="14849" max="14849" width="28" customWidth="1"/>
    <col min="14850" max="14850" width="9.140625" customWidth="1"/>
    <col min="14851" max="14851" width="13.42578125" bestFit="1" customWidth="1"/>
    <col min="14852" max="14852" width="14.7109375" bestFit="1" customWidth="1"/>
    <col min="14853" max="14853" width="12.42578125" customWidth="1"/>
    <col min="14854" max="14854" width="16.140625" bestFit="1" customWidth="1"/>
    <col min="14855" max="14855" width="16.140625" customWidth="1"/>
    <col min="14856" max="14856" width="15.5703125" bestFit="1" customWidth="1"/>
    <col min="14857" max="14857" width="16.140625" bestFit="1" customWidth="1"/>
    <col min="14858" max="14858" width="14.7109375" customWidth="1"/>
    <col min="14859" max="14859" width="10.5703125" customWidth="1"/>
    <col min="14860" max="14860" width="14.28515625" bestFit="1" customWidth="1"/>
    <col min="14861" max="14861" width="13.5703125" customWidth="1"/>
    <col min="14862" max="14862" width="16.140625" bestFit="1" customWidth="1"/>
    <col min="14863" max="14863" width="15.28515625" customWidth="1"/>
    <col min="14864" max="14864" width="16.28515625" customWidth="1"/>
    <col min="14865" max="14865" width="12.42578125" customWidth="1"/>
    <col min="14866" max="14866" width="11.85546875" customWidth="1"/>
    <col min="15105" max="15105" width="28" customWidth="1"/>
    <col min="15106" max="15106" width="9.140625" customWidth="1"/>
    <col min="15107" max="15107" width="13.42578125" bestFit="1" customWidth="1"/>
    <col min="15108" max="15108" width="14.7109375" bestFit="1" customWidth="1"/>
    <col min="15109" max="15109" width="12.42578125" customWidth="1"/>
    <col min="15110" max="15110" width="16.140625" bestFit="1" customWidth="1"/>
    <col min="15111" max="15111" width="16.140625" customWidth="1"/>
    <col min="15112" max="15112" width="15.5703125" bestFit="1" customWidth="1"/>
    <col min="15113" max="15113" width="16.140625" bestFit="1" customWidth="1"/>
    <col min="15114" max="15114" width="14.7109375" customWidth="1"/>
    <col min="15115" max="15115" width="10.5703125" customWidth="1"/>
    <col min="15116" max="15116" width="14.28515625" bestFit="1" customWidth="1"/>
    <col min="15117" max="15117" width="13.5703125" customWidth="1"/>
    <col min="15118" max="15118" width="16.140625" bestFit="1" customWidth="1"/>
    <col min="15119" max="15119" width="15.28515625" customWidth="1"/>
    <col min="15120" max="15120" width="16.28515625" customWidth="1"/>
    <col min="15121" max="15121" width="12.42578125" customWidth="1"/>
    <col min="15122" max="15122" width="11.85546875" customWidth="1"/>
    <col min="15361" max="15361" width="28" customWidth="1"/>
    <col min="15362" max="15362" width="9.140625" customWidth="1"/>
    <col min="15363" max="15363" width="13.42578125" bestFit="1" customWidth="1"/>
    <col min="15364" max="15364" width="14.7109375" bestFit="1" customWidth="1"/>
    <col min="15365" max="15365" width="12.42578125" customWidth="1"/>
    <col min="15366" max="15366" width="16.140625" bestFit="1" customWidth="1"/>
    <col min="15367" max="15367" width="16.140625" customWidth="1"/>
    <col min="15368" max="15368" width="15.5703125" bestFit="1" customWidth="1"/>
    <col min="15369" max="15369" width="16.140625" bestFit="1" customWidth="1"/>
    <col min="15370" max="15370" width="14.7109375" customWidth="1"/>
    <col min="15371" max="15371" width="10.5703125" customWidth="1"/>
    <col min="15372" max="15372" width="14.28515625" bestFit="1" customWidth="1"/>
    <col min="15373" max="15373" width="13.5703125" customWidth="1"/>
    <col min="15374" max="15374" width="16.140625" bestFit="1" customWidth="1"/>
    <col min="15375" max="15375" width="15.28515625" customWidth="1"/>
    <col min="15376" max="15376" width="16.28515625" customWidth="1"/>
    <col min="15377" max="15377" width="12.42578125" customWidth="1"/>
    <col min="15378" max="15378" width="11.85546875" customWidth="1"/>
    <col min="15617" max="15617" width="28" customWidth="1"/>
    <col min="15618" max="15618" width="9.140625" customWidth="1"/>
    <col min="15619" max="15619" width="13.42578125" bestFit="1" customWidth="1"/>
    <col min="15620" max="15620" width="14.7109375" bestFit="1" customWidth="1"/>
    <col min="15621" max="15621" width="12.42578125" customWidth="1"/>
    <col min="15622" max="15622" width="16.140625" bestFit="1" customWidth="1"/>
    <col min="15623" max="15623" width="16.140625" customWidth="1"/>
    <col min="15624" max="15624" width="15.5703125" bestFit="1" customWidth="1"/>
    <col min="15625" max="15625" width="16.140625" bestFit="1" customWidth="1"/>
    <col min="15626" max="15626" width="14.7109375" customWidth="1"/>
    <col min="15627" max="15627" width="10.5703125" customWidth="1"/>
    <col min="15628" max="15628" width="14.28515625" bestFit="1" customWidth="1"/>
    <col min="15629" max="15629" width="13.5703125" customWidth="1"/>
    <col min="15630" max="15630" width="16.140625" bestFit="1" customWidth="1"/>
    <col min="15631" max="15631" width="15.28515625" customWidth="1"/>
    <col min="15632" max="15632" width="16.28515625" customWidth="1"/>
    <col min="15633" max="15633" width="12.42578125" customWidth="1"/>
    <col min="15634" max="15634" width="11.85546875" customWidth="1"/>
    <col min="15873" max="15873" width="28" customWidth="1"/>
    <col min="15874" max="15874" width="9.140625" customWidth="1"/>
    <col min="15875" max="15875" width="13.42578125" bestFit="1" customWidth="1"/>
    <col min="15876" max="15876" width="14.7109375" bestFit="1" customWidth="1"/>
    <col min="15877" max="15877" width="12.42578125" customWidth="1"/>
    <col min="15878" max="15878" width="16.140625" bestFit="1" customWidth="1"/>
    <col min="15879" max="15879" width="16.140625" customWidth="1"/>
    <col min="15880" max="15880" width="15.5703125" bestFit="1" customWidth="1"/>
    <col min="15881" max="15881" width="16.140625" bestFit="1" customWidth="1"/>
    <col min="15882" max="15882" width="14.7109375" customWidth="1"/>
    <col min="15883" max="15883" width="10.5703125" customWidth="1"/>
    <col min="15884" max="15884" width="14.28515625" bestFit="1" customWidth="1"/>
    <col min="15885" max="15885" width="13.5703125" customWidth="1"/>
    <col min="15886" max="15886" width="16.140625" bestFit="1" customWidth="1"/>
    <col min="15887" max="15887" width="15.28515625" customWidth="1"/>
    <col min="15888" max="15888" width="16.28515625" customWidth="1"/>
    <col min="15889" max="15889" width="12.42578125" customWidth="1"/>
    <col min="15890" max="15890" width="11.85546875" customWidth="1"/>
    <col min="16129" max="16129" width="28" customWidth="1"/>
    <col min="16130" max="16130" width="9.140625" customWidth="1"/>
    <col min="16131" max="16131" width="13.42578125" bestFit="1" customWidth="1"/>
    <col min="16132" max="16132" width="14.7109375" bestFit="1" customWidth="1"/>
    <col min="16133" max="16133" width="12.42578125" customWidth="1"/>
    <col min="16134" max="16134" width="16.140625" bestFit="1" customWidth="1"/>
    <col min="16135" max="16135" width="16.140625" customWidth="1"/>
    <col min="16136" max="16136" width="15.5703125" bestFit="1" customWidth="1"/>
    <col min="16137" max="16137" width="16.140625" bestFit="1" customWidth="1"/>
    <col min="16138" max="16138" width="14.7109375" customWidth="1"/>
    <col min="16139" max="16139" width="10.5703125" customWidth="1"/>
    <col min="16140" max="16140" width="14.28515625" bestFit="1" customWidth="1"/>
    <col min="16141" max="16141" width="13.5703125" customWidth="1"/>
    <col min="16142" max="16142" width="16.140625" bestFit="1" customWidth="1"/>
    <col min="16143" max="16143" width="15.28515625" customWidth="1"/>
    <col min="16144" max="16144" width="16.28515625" customWidth="1"/>
    <col min="16145" max="16145" width="12.42578125" customWidth="1"/>
    <col min="16146" max="16146" width="11.85546875" customWidth="1"/>
  </cols>
  <sheetData>
    <row r="1" spans="1:18" ht="18.75">
      <c r="A1" s="2" t="s">
        <v>1</v>
      </c>
      <c r="D1" s="94" t="s">
        <v>332</v>
      </c>
      <c r="E1"/>
      <c r="F1" s="1"/>
      <c r="G1"/>
      <c r="H1"/>
      <c r="I1"/>
      <c r="J1"/>
      <c r="K1"/>
      <c r="L1"/>
      <c r="M1"/>
      <c r="N1"/>
      <c r="O1"/>
      <c r="P1"/>
      <c r="Q1"/>
    </row>
    <row r="2" spans="1:18" ht="15.75">
      <c r="A2" s="93" t="s">
        <v>339</v>
      </c>
      <c r="D2" s="94" t="s">
        <v>338</v>
      </c>
      <c r="E2"/>
      <c r="F2" s="1"/>
      <c r="G2"/>
      <c r="H2"/>
      <c r="I2"/>
      <c r="J2"/>
      <c r="K2"/>
      <c r="L2"/>
      <c r="M2"/>
      <c r="N2"/>
      <c r="O2"/>
      <c r="P2"/>
      <c r="Q2"/>
    </row>
    <row r="3" spans="1:18">
      <c r="E3"/>
      <c r="F3"/>
      <c r="G3"/>
      <c r="H3"/>
      <c r="I3"/>
      <c r="J3"/>
      <c r="K3"/>
      <c r="L3"/>
      <c r="M3"/>
      <c r="N3"/>
      <c r="O3"/>
      <c r="P3"/>
      <c r="Q3"/>
    </row>
    <row r="4" spans="1:18">
      <c r="E4"/>
      <c r="F4" s="77">
        <f>COUNTIF(F7:F1000,"&lt;&gt;"&amp;"")</f>
        <v>37</v>
      </c>
      <c r="G4" s="77">
        <f t="shared" ref="G4:P4" si="0">COUNTIF(G7:G1000,"&lt;&gt;"&amp;"")</f>
        <v>39</v>
      </c>
      <c r="H4" s="77">
        <f t="shared" si="0"/>
        <v>14</v>
      </c>
      <c r="I4" s="77">
        <f t="shared" si="0"/>
        <v>57</v>
      </c>
      <c r="J4" s="77">
        <f t="shared" si="0"/>
        <v>8</v>
      </c>
      <c r="K4" s="77">
        <f t="shared" si="0"/>
        <v>0</v>
      </c>
      <c r="L4" s="77">
        <f t="shared" si="0"/>
        <v>13</v>
      </c>
      <c r="M4" s="77">
        <f t="shared" si="0"/>
        <v>0</v>
      </c>
      <c r="N4" s="77">
        <f t="shared" si="0"/>
        <v>14</v>
      </c>
      <c r="O4" s="77">
        <f t="shared" si="0"/>
        <v>8</v>
      </c>
      <c r="P4" s="77">
        <f t="shared" si="0"/>
        <v>12</v>
      </c>
      <c r="Q4" s="77">
        <f>COUNTIF(Q7:Q1000,"Y")</f>
        <v>39</v>
      </c>
    </row>
    <row r="5" spans="1:18">
      <c r="B5" s="82" t="s">
        <v>316</v>
      </c>
      <c r="D5"/>
      <c r="E5"/>
      <c r="F5" s="113" t="s">
        <v>2</v>
      </c>
      <c r="G5" s="113"/>
      <c r="H5" s="113"/>
      <c r="I5" s="113"/>
      <c r="J5" s="113"/>
      <c r="K5" s="113"/>
      <c r="L5" s="113"/>
      <c r="M5" s="113"/>
      <c r="N5" s="113"/>
      <c r="O5" s="113"/>
      <c r="P5" s="113"/>
      <c r="Q5" s="113"/>
    </row>
    <row r="6" spans="1:18" ht="45">
      <c r="A6" s="52" t="s">
        <v>3</v>
      </c>
      <c r="B6" s="52" t="s">
        <v>4</v>
      </c>
      <c r="C6" s="53" t="s">
        <v>5</v>
      </c>
      <c r="D6" s="54" t="s">
        <v>6</v>
      </c>
      <c r="E6" s="54" t="s">
        <v>7</v>
      </c>
      <c r="F6" s="54" t="s">
        <v>8</v>
      </c>
      <c r="G6" s="55" t="s">
        <v>9</v>
      </c>
      <c r="H6" s="55" t="s">
        <v>10</v>
      </c>
      <c r="I6" s="54" t="s">
        <v>11</v>
      </c>
      <c r="J6" s="55" t="s">
        <v>12</v>
      </c>
      <c r="K6" s="54" t="s">
        <v>13</v>
      </c>
      <c r="L6" s="55" t="s">
        <v>14</v>
      </c>
      <c r="M6" s="54" t="s">
        <v>15</v>
      </c>
      <c r="N6" s="55" t="s">
        <v>16</v>
      </c>
      <c r="O6" s="55" t="s">
        <v>17</v>
      </c>
      <c r="P6" s="55" t="s">
        <v>18</v>
      </c>
      <c r="Q6" s="55" t="s">
        <v>19</v>
      </c>
      <c r="R6" s="54" t="s">
        <v>20</v>
      </c>
    </row>
    <row r="7" spans="1:18">
      <c r="A7" s="3" t="s">
        <v>21</v>
      </c>
      <c r="B7" s="4" t="s">
        <v>22</v>
      </c>
      <c r="C7" t="s">
        <v>23</v>
      </c>
      <c r="D7" s="24" t="s">
        <v>24</v>
      </c>
      <c r="E7" s="5" t="s">
        <v>25</v>
      </c>
      <c r="G7" s="5" t="s">
        <v>26</v>
      </c>
      <c r="I7" s="5" t="s">
        <v>25</v>
      </c>
      <c r="N7" s="5" t="s">
        <v>27</v>
      </c>
      <c r="Q7" s="5" t="s">
        <v>27</v>
      </c>
      <c r="R7" s="5" t="s">
        <v>28</v>
      </c>
    </row>
    <row r="8" spans="1:18" ht="45">
      <c r="A8" s="79" t="s">
        <v>321</v>
      </c>
      <c r="B8" s="7" t="s">
        <v>276</v>
      </c>
      <c r="C8" t="s">
        <v>29</v>
      </c>
      <c r="D8" s="27" t="s">
        <v>30</v>
      </c>
      <c r="E8" s="28" t="s">
        <v>277</v>
      </c>
      <c r="F8" s="28"/>
      <c r="G8" s="24"/>
      <c r="H8" s="24"/>
      <c r="I8" s="24"/>
      <c r="J8" s="24"/>
      <c r="K8" s="24"/>
      <c r="L8" s="24"/>
      <c r="M8" s="24"/>
      <c r="N8" s="24"/>
      <c r="O8" s="24"/>
      <c r="P8" s="24"/>
      <c r="Q8" s="24"/>
      <c r="R8" s="24"/>
    </row>
    <row r="9" spans="1:18">
      <c r="A9" s="8" t="s">
        <v>31</v>
      </c>
      <c r="B9" s="7" t="s">
        <v>32</v>
      </c>
      <c r="C9" t="s">
        <v>27</v>
      </c>
      <c r="D9" s="24" t="s">
        <v>30</v>
      </c>
      <c r="E9" s="5" t="s">
        <v>25</v>
      </c>
      <c r="F9" s="5" t="s">
        <v>33</v>
      </c>
      <c r="G9" s="5" t="s">
        <v>27</v>
      </c>
      <c r="H9" s="9" t="s">
        <v>25</v>
      </c>
      <c r="I9" s="5" t="s">
        <v>34</v>
      </c>
      <c r="L9" s="5" t="s">
        <v>27</v>
      </c>
      <c r="Q9" s="5" t="s">
        <v>27</v>
      </c>
      <c r="R9" s="5" t="s">
        <v>28</v>
      </c>
    </row>
    <row r="10" spans="1:18">
      <c r="A10" s="3" t="s">
        <v>35</v>
      </c>
      <c r="B10" s="4" t="s">
        <v>36</v>
      </c>
      <c r="C10" t="s">
        <v>27</v>
      </c>
      <c r="D10" s="24" t="s">
        <v>37</v>
      </c>
      <c r="E10" s="5" t="s">
        <v>38</v>
      </c>
      <c r="F10" s="5" t="s">
        <v>39</v>
      </c>
      <c r="I10" s="5" t="s">
        <v>40</v>
      </c>
      <c r="N10" s="5" t="s">
        <v>38</v>
      </c>
      <c r="Q10" s="5" t="s">
        <v>27</v>
      </c>
      <c r="R10" s="5" t="s">
        <v>28</v>
      </c>
    </row>
    <row r="11" spans="1:18">
      <c r="A11" s="3" t="s">
        <v>47</v>
      </c>
      <c r="B11" s="7" t="s">
        <v>48</v>
      </c>
      <c r="C11" t="s">
        <v>27</v>
      </c>
      <c r="D11" s="24" t="s">
        <v>49</v>
      </c>
      <c r="E11" s="5" t="s">
        <v>50</v>
      </c>
      <c r="N11" s="5" t="s">
        <v>50</v>
      </c>
      <c r="O11" s="5" t="s">
        <v>51</v>
      </c>
      <c r="Q11" s="5" t="s">
        <v>27</v>
      </c>
      <c r="R11" s="5" t="s">
        <v>28</v>
      </c>
    </row>
    <row r="12" spans="1:18">
      <c r="A12" s="10" t="s">
        <v>52</v>
      </c>
      <c r="B12" s="4" t="s">
        <v>53</v>
      </c>
      <c r="C12" t="s">
        <v>27</v>
      </c>
      <c r="D12" s="24" t="s">
        <v>49</v>
      </c>
      <c r="E12" s="5" t="s">
        <v>50</v>
      </c>
      <c r="F12" s="5" t="s">
        <v>54</v>
      </c>
      <c r="G12" s="5" t="s">
        <v>55</v>
      </c>
      <c r="I12" s="5" t="s">
        <v>27</v>
      </c>
      <c r="J12" s="5" t="s">
        <v>56</v>
      </c>
      <c r="P12" s="5" t="s">
        <v>57</v>
      </c>
      <c r="Q12" s="5" t="s">
        <v>29</v>
      </c>
      <c r="R12" s="5" t="s">
        <v>28</v>
      </c>
    </row>
    <row r="13" spans="1:18">
      <c r="A13" s="3" t="s">
        <v>58</v>
      </c>
      <c r="B13" s="4" t="s">
        <v>59</v>
      </c>
      <c r="C13" t="s">
        <v>23</v>
      </c>
      <c r="D13" s="24" t="s">
        <v>60</v>
      </c>
      <c r="E13" s="5" t="s">
        <v>61</v>
      </c>
      <c r="N13" s="5" t="s">
        <v>61</v>
      </c>
      <c r="Q13" s="5" t="s">
        <v>27</v>
      </c>
      <c r="R13" s="5" t="s">
        <v>28</v>
      </c>
    </row>
    <row r="14" spans="1:18">
      <c r="A14" s="71" t="s">
        <v>282</v>
      </c>
      <c r="B14" t="s">
        <v>276</v>
      </c>
      <c r="C14" t="s">
        <v>29</v>
      </c>
      <c r="D14" s="24" t="s">
        <v>62</v>
      </c>
      <c r="E14" s="5" t="s">
        <v>50</v>
      </c>
    </row>
    <row r="15" spans="1:18">
      <c r="A15" s="10" t="s">
        <v>63</v>
      </c>
      <c r="B15" s="4" t="s">
        <v>64</v>
      </c>
      <c r="C15" t="s">
        <v>27</v>
      </c>
      <c r="D15" s="24" t="s">
        <v>62</v>
      </c>
      <c r="E15" s="5" t="s">
        <v>50</v>
      </c>
      <c r="G15" s="5" t="s">
        <v>65</v>
      </c>
      <c r="I15" s="5" t="s">
        <v>40</v>
      </c>
      <c r="Q15" s="5" t="s">
        <v>29</v>
      </c>
      <c r="R15" s="5" t="s">
        <v>28</v>
      </c>
    </row>
    <row r="16" spans="1:18">
      <c r="A16" s="11" t="s">
        <v>66</v>
      </c>
      <c r="B16" s="7" t="s">
        <v>67</v>
      </c>
      <c r="C16" t="s">
        <v>27</v>
      </c>
      <c r="D16" s="28" t="s">
        <v>37</v>
      </c>
      <c r="E16" s="28" t="s">
        <v>68</v>
      </c>
      <c r="F16" s="28"/>
      <c r="G16" s="24"/>
      <c r="H16" s="24"/>
      <c r="I16" s="24"/>
      <c r="J16" s="24"/>
      <c r="K16" s="24"/>
      <c r="L16" s="24"/>
      <c r="M16" s="24"/>
      <c r="N16" s="24"/>
      <c r="O16" s="24"/>
      <c r="P16" s="24" t="s">
        <v>38</v>
      </c>
      <c r="Q16" s="24" t="s">
        <v>27</v>
      </c>
      <c r="R16" s="24"/>
    </row>
    <row r="17" spans="1:18" ht="30">
      <c r="A17" s="10" t="s">
        <v>69</v>
      </c>
      <c r="B17" s="4" t="s">
        <v>70</v>
      </c>
      <c r="C17" t="s">
        <v>27</v>
      </c>
      <c r="D17" s="25" t="s">
        <v>60</v>
      </c>
      <c r="E17" s="5" t="s">
        <v>61</v>
      </c>
      <c r="F17" s="5" t="s">
        <v>71</v>
      </c>
      <c r="G17" s="5" t="s">
        <v>72</v>
      </c>
      <c r="Q17" s="5" t="s">
        <v>29</v>
      </c>
      <c r="R17" s="5" t="s">
        <v>28</v>
      </c>
    </row>
    <row r="18" spans="1:18" ht="30">
      <c r="A18" s="3" t="s">
        <v>73</v>
      </c>
      <c r="B18" s="7" t="s">
        <v>74</v>
      </c>
      <c r="C18" t="s">
        <v>27</v>
      </c>
      <c r="D18" s="24" t="s">
        <v>49</v>
      </c>
      <c r="E18" s="5" t="s">
        <v>50</v>
      </c>
      <c r="I18" s="5" t="s">
        <v>45</v>
      </c>
      <c r="O18" s="5" t="s">
        <v>75</v>
      </c>
      <c r="Q18" s="5" t="s">
        <v>27</v>
      </c>
      <c r="R18" s="5" t="s">
        <v>28</v>
      </c>
    </row>
    <row r="19" spans="1:18">
      <c r="A19" s="59" t="s">
        <v>284</v>
      </c>
      <c r="B19" t="s">
        <v>276</v>
      </c>
      <c r="C19" t="s">
        <v>27</v>
      </c>
      <c r="D19" s="24" t="s">
        <v>30</v>
      </c>
      <c r="E19" s="5" t="s">
        <v>25</v>
      </c>
    </row>
    <row r="20" spans="1:18" ht="30">
      <c r="A20" s="10" t="s">
        <v>41</v>
      </c>
      <c r="B20" s="4" t="s">
        <v>42</v>
      </c>
      <c r="C20" t="s">
        <v>27</v>
      </c>
      <c r="D20" s="24" t="s">
        <v>30</v>
      </c>
      <c r="E20" s="5" t="s">
        <v>25</v>
      </c>
      <c r="F20" s="5" t="s">
        <v>43</v>
      </c>
      <c r="G20" s="5" t="s">
        <v>44</v>
      </c>
      <c r="I20" s="5" t="s">
        <v>45</v>
      </c>
      <c r="J20" s="5" t="s">
        <v>46</v>
      </c>
      <c r="Q20" s="5" t="s">
        <v>29</v>
      </c>
      <c r="R20" s="5" t="s">
        <v>28</v>
      </c>
    </row>
    <row r="21" spans="1:18">
      <c r="A21" s="11" t="s">
        <v>76</v>
      </c>
      <c r="B21" s="7" t="s">
        <v>77</v>
      </c>
      <c r="C21" t="s">
        <v>23</v>
      </c>
      <c r="D21" s="27" t="s">
        <v>49</v>
      </c>
      <c r="E21" s="28" t="s">
        <v>50</v>
      </c>
      <c r="F21" s="24" t="s">
        <v>243</v>
      </c>
      <c r="G21" s="24"/>
      <c r="H21" s="24"/>
      <c r="I21" s="24" t="s">
        <v>50</v>
      </c>
      <c r="J21" s="24" t="s">
        <v>75</v>
      </c>
      <c r="K21" s="24"/>
      <c r="L21" s="24"/>
      <c r="M21" s="24"/>
      <c r="N21" s="24"/>
      <c r="O21" s="24"/>
      <c r="P21" s="24"/>
      <c r="Q21" s="24" t="s">
        <v>29</v>
      </c>
      <c r="R21" s="24"/>
    </row>
    <row r="22" spans="1:18" ht="30">
      <c r="A22" s="10" t="s">
        <v>78</v>
      </c>
      <c r="B22" s="4" t="s">
        <v>79</v>
      </c>
      <c r="C22" t="s">
        <v>23</v>
      </c>
      <c r="D22" s="24" t="s">
        <v>49</v>
      </c>
      <c r="E22" s="5" t="s">
        <v>50</v>
      </c>
      <c r="G22" s="5" t="s">
        <v>80</v>
      </c>
      <c r="I22" s="5" t="s">
        <v>50</v>
      </c>
      <c r="Q22" s="5" t="s">
        <v>29</v>
      </c>
      <c r="R22" s="5" t="s">
        <v>28</v>
      </c>
    </row>
    <row r="23" spans="1:18">
      <c r="A23" s="11" t="s">
        <v>81</v>
      </c>
      <c r="B23" s="7" t="s">
        <v>82</v>
      </c>
      <c r="C23" t="s">
        <v>29</v>
      </c>
      <c r="D23" s="28" t="s">
        <v>37</v>
      </c>
      <c r="E23" s="28" t="s">
        <v>68</v>
      </c>
      <c r="F23" s="28" t="s">
        <v>244</v>
      </c>
      <c r="G23" s="24"/>
      <c r="H23" s="24"/>
      <c r="I23" s="24" t="s">
        <v>165</v>
      </c>
      <c r="J23" s="24"/>
      <c r="K23" s="24"/>
      <c r="L23" s="24"/>
      <c r="M23" s="24"/>
      <c r="N23" s="24"/>
      <c r="O23" s="24"/>
      <c r="P23" s="24"/>
      <c r="Q23" s="24" t="s">
        <v>29</v>
      </c>
      <c r="R23" s="24"/>
    </row>
    <row r="24" spans="1:18">
      <c r="A24" s="57" t="s">
        <v>278</v>
      </c>
      <c r="B24" s="58" t="s">
        <v>279</v>
      </c>
      <c r="D24" s="24"/>
    </row>
    <row r="25" spans="1:18">
      <c r="A25" s="57" t="s">
        <v>280</v>
      </c>
      <c r="B25" s="58" t="s">
        <v>281</v>
      </c>
      <c r="D25" s="24"/>
    </row>
    <row r="26" spans="1:18">
      <c r="A26" s="11" t="s">
        <v>83</v>
      </c>
      <c r="B26" s="7" t="s">
        <v>245</v>
      </c>
      <c r="C26" t="s">
        <v>27</v>
      </c>
      <c r="D26" s="28" t="s">
        <v>62</v>
      </c>
      <c r="E26" s="28" t="s">
        <v>84</v>
      </c>
      <c r="F26" s="28" t="s">
        <v>246</v>
      </c>
      <c r="G26" s="24" t="s">
        <v>27</v>
      </c>
      <c r="H26" s="24" t="s">
        <v>247</v>
      </c>
      <c r="I26" s="24" t="s">
        <v>248</v>
      </c>
      <c r="J26" s="24"/>
      <c r="K26" s="24"/>
      <c r="L26" s="24"/>
      <c r="M26" s="24"/>
      <c r="N26" s="24"/>
      <c r="O26" s="24"/>
      <c r="P26" s="24"/>
      <c r="Q26" s="24" t="s">
        <v>29</v>
      </c>
      <c r="R26" s="24"/>
    </row>
    <row r="27" spans="1:18" ht="30">
      <c r="A27" s="10" t="s">
        <v>85</v>
      </c>
      <c r="B27" s="7" t="s">
        <v>86</v>
      </c>
      <c r="C27" t="s">
        <v>27</v>
      </c>
      <c r="D27" s="24" t="s">
        <v>30</v>
      </c>
      <c r="E27" s="5" t="s">
        <v>25</v>
      </c>
      <c r="F27" s="5" t="s">
        <v>38</v>
      </c>
      <c r="I27" s="5" t="s">
        <v>87</v>
      </c>
      <c r="Q27" s="5" t="s">
        <v>29</v>
      </c>
      <c r="R27" s="5" t="s">
        <v>28</v>
      </c>
    </row>
    <row r="28" spans="1:18" ht="60">
      <c r="A28" s="3" t="s">
        <v>88</v>
      </c>
      <c r="B28" s="4" t="s">
        <v>89</v>
      </c>
      <c r="C28" t="s">
        <v>27</v>
      </c>
      <c r="D28" s="24" t="s">
        <v>60</v>
      </c>
      <c r="E28" s="5" t="s">
        <v>61</v>
      </c>
      <c r="F28" s="5" t="s">
        <v>57</v>
      </c>
      <c r="G28" s="5" t="s">
        <v>27</v>
      </c>
      <c r="H28" s="5" t="s">
        <v>61</v>
      </c>
      <c r="I28" s="5" t="s">
        <v>34</v>
      </c>
      <c r="L28" s="5" t="s">
        <v>27</v>
      </c>
      <c r="P28" s="5" t="s">
        <v>33</v>
      </c>
      <c r="Q28" s="5" t="s">
        <v>27</v>
      </c>
      <c r="R28" s="5" t="s">
        <v>28</v>
      </c>
    </row>
    <row r="29" spans="1:18">
      <c r="A29" s="11" t="s">
        <v>90</v>
      </c>
      <c r="B29" s="7" t="s">
        <v>91</v>
      </c>
      <c r="C29" t="s">
        <v>27</v>
      </c>
      <c r="D29" s="24" t="s">
        <v>49</v>
      </c>
      <c r="E29" s="5" t="s">
        <v>50</v>
      </c>
      <c r="F29" s="5" t="s">
        <v>92</v>
      </c>
      <c r="G29" s="5" t="s">
        <v>27</v>
      </c>
      <c r="H29" s="9" t="s">
        <v>93</v>
      </c>
      <c r="I29" s="5" t="s">
        <v>34</v>
      </c>
      <c r="L29" s="5" t="s">
        <v>27</v>
      </c>
      <c r="P29" s="5" t="s">
        <v>94</v>
      </c>
      <c r="Q29" s="5" t="s">
        <v>29</v>
      </c>
      <c r="R29" s="5" t="s">
        <v>28</v>
      </c>
    </row>
    <row r="30" spans="1:18">
      <c r="A30" s="57" t="s">
        <v>283</v>
      </c>
      <c r="B30" s="58" t="s">
        <v>279</v>
      </c>
      <c r="D30" s="24"/>
    </row>
    <row r="31" spans="1:18" ht="45">
      <c r="A31" s="3" t="s">
        <v>105</v>
      </c>
      <c r="B31" s="7" t="s">
        <v>106</v>
      </c>
      <c r="C31" t="s">
        <v>27</v>
      </c>
      <c r="D31" s="24" t="s">
        <v>60</v>
      </c>
      <c r="E31" s="5" t="s">
        <v>61</v>
      </c>
      <c r="F31" s="5" t="s">
        <v>107</v>
      </c>
      <c r="G31" s="5" t="s">
        <v>27</v>
      </c>
      <c r="H31" s="5" t="s">
        <v>61</v>
      </c>
      <c r="I31" s="5" t="s">
        <v>34</v>
      </c>
      <c r="L31" s="5" t="s">
        <v>27</v>
      </c>
      <c r="P31" s="5" t="s">
        <v>108</v>
      </c>
      <c r="Q31" s="5" t="s">
        <v>27</v>
      </c>
      <c r="R31" s="5" t="s">
        <v>28</v>
      </c>
    </row>
    <row r="32" spans="1:18">
      <c r="A32" s="10" t="s">
        <v>109</v>
      </c>
      <c r="B32" s="7" t="s">
        <v>110</v>
      </c>
      <c r="C32" t="s">
        <v>27</v>
      </c>
      <c r="D32" s="24" t="s">
        <v>49</v>
      </c>
      <c r="E32" s="5" t="s">
        <v>50</v>
      </c>
      <c r="G32" s="5" t="s">
        <v>111</v>
      </c>
      <c r="I32" s="5" t="s">
        <v>112</v>
      </c>
      <c r="Q32" s="5" t="s">
        <v>29</v>
      </c>
      <c r="R32" s="5" t="s">
        <v>28</v>
      </c>
    </row>
    <row r="33" spans="1:18" ht="45">
      <c r="A33" s="3" t="s">
        <v>113</v>
      </c>
      <c r="B33" s="12" t="s">
        <v>114</v>
      </c>
      <c r="C33" s="13" t="s">
        <v>115</v>
      </c>
      <c r="D33" s="26" t="s">
        <v>100</v>
      </c>
      <c r="E33" s="14" t="s">
        <v>101</v>
      </c>
      <c r="F33" s="14" t="s">
        <v>102</v>
      </c>
      <c r="G33" s="14" t="s">
        <v>27</v>
      </c>
      <c r="H33" s="14" t="s">
        <v>116</v>
      </c>
      <c r="I33" s="14" t="s">
        <v>34</v>
      </c>
      <c r="J33" s="14"/>
      <c r="K33" s="14"/>
      <c r="L33" s="14" t="s">
        <v>27</v>
      </c>
      <c r="M33" s="14"/>
      <c r="N33" s="14"/>
      <c r="O33" s="14"/>
      <c r="P33" s="14" t="s">
        <v>104</v>
      </c>
      <c r="Q33" s="14" t="s">
        <v>27</v>
      </c>
      <c r="R33" s="14" t="s">
        <v>28</v>
      </c>
    </row>
    <row r="34" spans="1:18" ht="30">
      <c r="A34" s="57" t="s">
        <v>285</v>
      </c>
      <c r="B34" s="58" t="s">
        <v>279</v>
      </c>
      <c r="D34" s="24"/>
    </row>
    <row r="35" spans="1:18">
      <c r="A35" s="72" t="s">
        <v>120</v>
      </c>
      <c r="B35" s="4" t="s">
        <v>276</v>
      </c>
      <c r="C35" t="s">
        <v>29</v>
      </c>
      <c r="D35" s="24" t="s">
        <v>30</v>
      </c>
      <c r="E35" s="5" t="s">
        <v>25</v>
      </c>
      <c r="I35" s="5" t="s">
        <v>121</v>
      </c>
      <c r="Q35" s="5" t="s">
        <v>27</v>
      </c>
      <c r="R35" s="5" t="s">
        <v>28</v>
      </c>
    </row>
    <row r="36" spans="1:18">
      <c r="A36" s="57" t="s">
        <v>286</v>
      </c>
      <c r="B36" s="58" t="s">
        <v>279</v>
      </c>
      <c r="D36" s="24"/>
    </row>
    <row r="37" spans="1:18">
      <c r="A37" s="72" t="s">
        <v>322</v>
      </c>
      <c r="B37" s="4" t="s">
        <v>276</v>
      </c>
      <c r="C37" t="s">
        <v>29</v>
      </c>
      <c r="D37" s="24" t="s">
        <v>60</v>
      </c>
      <c r="E37" s="5" t="s">
        <v>61</v>
      </c>
      <c r="F37" s="5" t="s">
        <v>122</v>
      </c>
      <c r="G37" s="5" t="s">
        <v>45</v>
      </c>
      <c r="H37" s="5" t="s">
        <v>123</v>
      </c>
      <c r="I37" s="5" t="s">
        <v>27</v>
      </c>
      <c r="Q37" s="5" t="s">
        <v>27</v>
      </c>
      <c r="R37" s="5" t="s">
        <v>28</v>
      </c>
    </row>
    <row r="38" spans="1:18">
      <c r="A38" s="10" t="s">
        <v>124</v>
      </c>
      <c r="B38" s="4" t="s">
        <v>125</v>
      </c>
      <c r="C38" t="s">
        <v>29</v>
      </c>
      <c r="D38" s="24" t="s">
        <v>49</v>
      </c>
      <c r="E38" s="5" t="s">
        <v>50</v>
      </c>
      <c r="G38" s="5" t="s">
        <v>126</v>
      </c>
      <c r="I38" s="5" t="s">
        <v>38</v>
      </c>
      <c r="Q38" s="5" t="s">
        <v>29</v>
      </c>
      <c r="R38" s="5" t="s">
        <v>28</v>
      </c>
    </row>
    <row r="39" spans="1:18" ht="30">
      <c r="A39" s="3" t="s">
        <v>127</v>
      </c>
      <c r="B39" s="4" t="s">
        <v>128</v>
      </c>
      <c r="C39" t="s">
        <v>27</v>
      </c>
      <c r="D39" s="24" t="s">
        <v>30</v>
      </c>
      <c r="E39" s="5" t="s">
        <v>25</v>
      </c>
      <c r="I39" s="5" t="s">
        <v>45</v>
      </c>
      <c r="O39" s="5" t="s">
        <v>45</v>
      </c>
      <c r="Q39" s="5" t="s">
        <v>27</v>
      </c>
      <c r="R39" s="5" t="s">
        <v>28</v>
      </c>
    </row>
    <row r="40" spans="1:18">
      <c r="A40" s="8" t="s">
        <v>95</v>
      </c>
      <c r="B40" s="7" t="s">
        <v>96</v>
      </c>
      <c r="C40" t="s">
        <v>27</v>
      </c>
      <c r="D40" s="24" t="s">
        <v>24</v>
      </c>
      <c r="E40" s="5" t="s">
        <v>25</v>
      </c>
      <c r="G40" s="5" t="s">
        <v>27</v>
      </c>
      <c r="H40" s="5" t="s">
        <v>25</v>
      </c>
      <c r="I40" s="5" t="s">
        <v>34</v>
      </c>
      <c r="L40" s="5" t="s">
        <v>27</v>
      </c>
      <c r="P40" s="5" t="s">
        <v>97</v>
      </c>
      <c r="Q40" s="5" t="s">
        <v>27</v>
      </c>
      <c r="R40" s="5" t="s">
        <v>28</v>
      </c>
    </row>
    <row r="41" spans="1:18">
      <c r="A41" s="11" t="s">
        <v>98</v>
      </c>
      <c r="B41" s="7" t="s">
        <v>99</v>
      </c>
      <c r="C41" t="s">
        <v>27</v>
      </c>
      <c r="D41" s="24" t="s">
        <v>100</v>
      </c>
      <c r="E41" s="5" t="s">
        <v>101</v>
      </c>
      <c r="F41" s="5" t="s">
        <v>102</v>
      </c>
      <c r="G41" s="5" t="s">
        <v>27</v>
      </c>
      <c r="H41" s="5" t="s">
        <v>103</v>
      </c>
      <c r="I41" s="5" t="s">
        <v>34</v>
      </c>
      <c r="L41" s="5" t="s">
        <v>27</v>
      </c>
      <c r="P41" s="5" t="s">
        <v>104</v>
      </c>
      <c r="Q41" s="5" t="s">
        <v>29</v>
      </c>
      <c r="R41" s="5" t="s">
        <v>28</v>
      </c>
    </row>
    <row r="42" spans="1:18">
      <c r="A42" s="3" t="s">
        <v>129</v>
      </c>
      <c r="B42" s="4" t="s">
        <v>130</v>
      </c>
      <c r="C42" t="s">
        <v>27</v>
      </c>
      <c r="D42" s="24" t="s">
        <v>60</v>
      </c>
      <c r="E42" s="5" t="s">
        <v>61</v>
      </c>
      <c r="F42" s="5" t="s">
        <v>131</v>
      </c>
      <c r="G42" s="5" t="s">
        <v>132</v>
      </c>
      <c r="J42" s="5" t="s">
        <v>133</v>
      </c>
      <c r="Q42" s="5" t="s">
        <v>27</v>
      </c>
      <c r="R42" s="5" t="s">
        <v>28</v>
      </c>
    </row>
    <row r="43" spans="1:18">
      <c r="A43" s="11" t="s">
        <v>134</v>
      </c>
      <c r="B43" s="15" t="s">
        <v>135</v>
      </c>
      <c r="C43" t="s">
        <v>23</v>
      </c>
      <c r="D43" s="27" t="s">
        <v>24</v>
      </c>
      <c r="E43" s="29" t="s">
        <v>25</v>
      </c>
      <c r="F43" s="29"/>
      <c r="G43" s="24"/>
      <c r="H43" s="24"/>
      <c r="I43" s="24" t="s">
        <v>87</v>
      </c>
      <c r="J43" s="24" t="s">
        <v>38</v>
      </c>
      <c r="K43" s="24"/>
      <c r="L43" s="24"/>
      <c r="M43" s="24"/>
      <c r="N43" s="24"/>
      <c r="O43" s="24"/>
      <c r="P43" s="24"/>
      <c r="Q43" s="24" t="s">
        <v>29</v>
      </c>
      <c r="R43" s="24"/>
    </row>
    <row r="44" spans="1:18">
      <c r="A44" s="3" t="s">
        <v>136</v>
      </c>
      <c r="B44" s="7" t="s">
        <v>137</v>
      </c>
      <c r="C44" t="s">
        <v>27</v>
      </c>
      <c r="D44" s="24" t="s">
        <v>60</v>
      </c>
      <c r="E44" s="5" t="s">
        <v>61</v>
      </c>
      <c r="F44" s="5" t="s">
        <v>116</v>
      </c>
      <c r="G44" s="5" t="s">
        <v>138</v>
      </c>
      <c r="I44" s="5" t="s">
        <v>139</v>
      </c>
      <c r="Q44" s="5" t="s">
        <v>27</v>
      </c>
      <c r="R44" s="5" t="s">
        <v>28</v>
      </c>
    </row>
    <row r="45" spans="1:18">
      <c r="A45" s="57" t="s">
        <v>287</v>
      </c>
      <c r="B45" s="58" t="s">
        <v>281</v>
      </c>
      <c r="D45" s="24"/>
    </row>
    <row r="46" spans="1:18">
      <c r="A46" s="3" t="s">
        <v>117</v>
      </c>
      <c r="B46" s="4" t="s">
        <v>118</v>
      </c>
      <c r="C46" t="s">
        <v>27</v>
      </c>
      <c r="D46" s="24" t="s">
        <v>30</v>
      </c>
      <c r="E46" s="5" t="s">
        <v>25</v>
      </c>
      <c r="I46" s="5" t="s">
        <v>119</v>
      </c>
      <c r="O46" s="5" t="s">
        <v>45</v>
      </c>
      <c r="Q46" s="5" t="s">
        <v>27</v>
      </c>
      <c r="R46" s="5" t="s">
        <v>28</v>
      </c>
    </row>
    <row r="47" spans="1:18">
      <c r="A47" s="57" t="s">
        <v>288</v>
      </c>
      <c r="B47" s="58" t="s">
        <v>281</v>
      </c>
      <c r="D47" s="24"/>
    </row>
    <row r="48" spans="1:18">
      <c r="A48" s="60" t="s">
        <v>289</v>
      </c>
      <c r="B48" s="61" t="s">
        <v>290</v>
      </c>
      <c r="C48" t="s">
        <v>275</v>
      </c>
      <c r="D48" s="24" t="s">
        <v>275</v>
      </c>
      <c r="E48" s="5" t="s">
        <v>275</v>
      </c>
    </row>
    <row r="49" spans="1:18">
      <c r="A49" s="80" t="s">
        <v>326</v>
      </c>
      <c r="B49" s="81" t="s">
        <v>281</v>
      </c>
      <c r="D49" s="24"/>
      <c r="R49" s="5"/>
    </row>
    <row r="50" spans="1:18" ht="45">
      <c r="A50" s="6" t="s">
        <v>140</v>
      </c>
      <c r="B50" s="4" t="s">
        <v>141</v>
      </c>
      <c r="C50" t="s">
        <v>23</v>
      </c>
      <c r="D50" s="24" t="s">
        <v>60</v>
      </c>
      <c r="E50" s="5" t="s">
        <v>61</v>
      </c>
      <c r="F50" s="5" t="s">
        <v>142</v>
      </c>
      <c r="G50" s="5" t="s">
        <v>143</v>
      </c>
      <c r="H50" s="5" t="s">
        <v>25</v>
      </c>
      <c r="I50" s="5" t="s">
        <v>61</v>
      </c>
      <c r="Q50" s="5" t="s">
        <v>27</v>
      </c>
      <c r="R50" s="5" t="s">
        <v>28</v>
      </c>
    </row>
    <row r="51" spans="1:18">
      <c r="A51" s="3" t="s">
        <v>144</v>
      </c>
      <c r="B51" s="7" t="s">
        <v>145</v>
      </c>
      <c r="C51" t="s">
        <v>23</v>
      </c>
      <c r="D51" s="24" t="s">
        <v>60</v>
      </c>
      <c r="E51" s="5" t="s">
        <v>61</v>
      </c>
      <c r="F51" s="5" t="s">
        <v>146</v>
      </c>
      <c r="I51" s="5" t="s">
        <v>147</v>
      </c>
      <c r="N51" s="5" t="s">
        <v>138</v>
      </c>
      <c r="Q51" s="5" t="s">
        <v>27</v>
      </c>
      <c r="R51" s="5" t="s">
        <v>28</v>
      </c>
    </row>
    <row r="52" spans="1:18" s="13" customFormat="1" ht="30">
      <c r="A52" s="3" t="s">
        <v>148</v>
      </c>
      <c r="B52" s="7" t="s">
        <v>149</v>
      </c>
      <c r="C52" t="s">
        <v>27</v>
      </c>
      <c r="D52" s="24" t="s">
        <v>30</v>
      </c>
      <c r="E52" s="5" t="s">
        <v>25</v>
      </c>
      <c r="F52" s="5"/>
      <c r="G52" s="5"/>
      <c r="H52" s="5"/>
      <c r="I52" s="5" t="s">
        <v>25</v>
      </c>
      <c r="J52" s="5"/>
      <c r="K52" s="5"/>
      <c r="L52" s="5"/>
      <c r="M52" s="5"/>
      <c r="N52" s="5" t="s">
        <v>25</v>
      </c>
      <c r="O52" s="5"/>
      <c r="P52" s="5"/>
      <c r="Q52" s="5" t="s">
        <v>27</v>
      </c>
      <c r="R52" s="5" t="s">
        <v>28</v>
      </c>
    </row>
    <row r="53" spans="1:18">
      <c r="A53" s="3" t="s">
        <v>156</v>
      </c>
      <c r="B53" s="4" t="s">
        <v>157</v>
      </c>
      <c r="C53" t="s">
        <v>27</v>
      </c>
      <c r="D53" s="24" t="s">
        <v>49</v>
      </c>
      <c r="E53" s="5" t="s">
        <v>50</v>
      </c>
      <c r="N53" s="5" t="s">
        <v>50</v>
      </c>
      <c r="Q53" s="5" t="s">
        <v>27</v>
      </c>
      <c r="R53" s="5" t="s">
        <v>28</v>
      </c>
    </row>
    <row r="54" spans="1:18">
      <c r="A54" s="10" t="s">
        <v>158</v>
      </c>
      <c r="B54" s="4" t="s">
        <v>159</v>
      </c>
      <c r="C54" t="s">
        <v>27</v>
      </c>
      <c r="D54" s="24" t="s">
        <v>60</v>
      </c>
      <c r="E54" s="5" t="s">
        <v>61</v>
      </c>
      <c r="F54" s="5" t="s">
        <v>160</v>
      </c>
      <c r="G54" s="16" t="s">
        <v>161</v>
      </c>
      <c r="I54" s="5" t="s">
        <v>162</v>
      </c>
      <c r="Q54" s="5" t="s">
        <v>29</v>
      </c>
      <c r="R54" s="5" t="s">
        <v>28</v>
      </c>
    </row>
    <row r="55" spans="1:18" ht="30">
      <c r="A55" s="3" t="s">
        <v>163</v>
      </c>
      <c r="B55" s="91" t="s">
        <v>164</v>
      </c>
      <c r="C55" s="13" t="s">
        <v>27</v>
      </c>
      <c r="D55" s="24" t="s">
        <v>30</v>
      </c>
      <c r="E55" s="5" t="s">
        <v>25</v>
      </c>
      <c r="F55" s="5" t="s">
        <v>165</v>
      </c>
      <c r="G55" s="5" t="s">
        <v>27</v>
      </c>
      <c r="H55" s="5" t="s">
        <v>25</v>
      </c>
      <c r="I55" s="5" t="s">
        <v>34</v>
      </c>
      <c r="L55" s="5" t="s">
        <v>27</v>
      </c>
      <c r="Q55" s="5" t="s">
        <v>27</v>
      </c>
      <c r="R55" s="5" t="s">
        <v>28</v>
      </c>
    </row>
    <row r="56" spans="1:18" ht="30">
      <c r="A56" s="72" t="s">
        <v>166</v>
      </c>
      <c r="B56" s="4" t="s">
        <v>276</v>
      </c>
      <c r="C56" t="s">
        <v>29</v>
      </c>
      <c r="D56" s="24" t="s">
        <v>49</v>
      </c>
      <c r="E56" s="5" t="s">
        <v>50</v>
      </c>
      <c r="G56" s="5" t="s">
        <v>75</v>
      </c>
      <c r="I56" s="5" t="s">
        <v>167</v>
      </c>
      <c r="Q56" s="5" t="s">
        <v>29</v>
      </c>
      <c r="R56" s="5" t="s">
        <v>168</v>
      </c>
    </row>
    <row r="57" spans="1:18">
      <c r="A57" s="57" t="s">
        <v>291</v>
      </c>
      <c r="B57" s="58" t="s">
        <v>279</v>
      </c>
      <c r="C57" s="13"/>
      <c r="D57" s="26"/>
      <c r="E57" s="14"/>
      <c r="F57" s="14"/>
      <c r="G57" s="14"/>
      <c r="H57" s="14"/>
      <c r="I57" s="14"/>
      <c r="J57" s="14"/>
      <c r="K57" s="14"/>
      <c r="L57" s="14"/>
      <c r="M57" s="14"/>
      <c r="N57" s="14"/>
      <c r="O57" s="14"/>
      <c r="P57" s="14"/>
      <c r="Q57" s="14"/>
      <c r="R57" s="13"/>
    </row>
    <row r="58" spans="1:18" ht="30">
      <c r="A58" s="57" t="s">
        <v>292</v>
      </c>
      <c r="B58" s="58" t="s">
        <v>279</v>
      </c>
      <c r="D58" s="24"/>
    </row>
    <row r="59" spans="1:18" ht="30">
      <c r="A59" s="72" t="s">
        <v>169</v>
      </c>
      <c r="B59" s="4" t="s">
        <v>276</v>
      </c>
      <c r="C59" t="s">
        <v>29</v>
      </c>
      <c r="D59" s="24" t="s">
        <v>30</v>
      </c>
      <c r="E59" s="5" t="s">
        <v>25</v>
      </c>
      <c r="G59" s="5" t="s">
        <v>38</v>
      </c>
      <c r="I59" s="5" t="s">
        <v>87</v>
      </c>
      <c r="Q59" s="5" t="s">
        <v>29</v>
      </c>
      <c r="R59" s="5" t="s">
        <v>28</v>
      </c>
    </row>
    <row r="60" spans="1:18" ht="45">
      <c r="A60" s="3" t="s">
        <v>150</v>
      </c>
      <c r="B60" s="4" t="s">
        <v>151</v>
      </c>
      <c r="C60" t="s">
        <v>27</v>
      </c>
      <c r="D60" s="24" t="s">
        <v>30</v>
      </c>
      <c r="E60" s="5" t="s">
        <v>25</v>
      </c>
      <c r="F60" s="5" t="s">
        <v>152</v>
      </c>
      <c r="G60" s="5" t="s">
        <v>27</v>
      </c>
      <c r="H60" s="5" t="s">
        <v>153</v>
      </c>
      <c r="I60" s="5" t="s">
        <v>154</v>
      </c>
      <c r="L60" s="5" t="s">
        <v>27</v>
      </c>
      <c r="O60" s="14" t="s">
        <v>155</v>
      </c>
      <c r="Q60" s="5" t="s">
        <v>27</v>
      </c>
      <c r="R60" s="14" t="s">
        <v>28</v>
      </c>
    </row>
    <row r="61" spans="1:18">
      <c r="A61" s="8" t="s">
        <v>293</v>
      </c>
      <c r="B61" s="7" t="s">
        <v>329</v>
      </c>
      <c r="C61" t="s">
        <v>27</v>
      </c>
      <c r="D61" s="24" t="s">
        <v>49</v>
      </c>
      <c r="E61" s="5" t="s">
        <v>50</v>
      </c>
      <c r="F61" s="5" t="s">
        <v>165</v>
      </c>
      <c r="G61" s="5" t="s">
        <v>330</v>
      </c>
      <c r="Q61" s="5" t="s">
        <v>29</v>
      </c>
    </row>
    <row r="62" spans="1:18">
      <c r="A62" s="59" t="s">
        <v>294</v>
      </c>
      <c r="B62" s="12" t="s">
        <v>276</v>
      </c>
      <c r="C62" t="s">
        <v>29</v>
      </c>
      <c r="D62" s="24" t="s">
        <v>62</v>
      </c>
      <c r="E62" s="24" t="s">
        <v>50</v>
      </c>
      <c r="F62" s="24"/>
      <c r="G62" s="24"/>
      <c r="H62" s="24"/>
      <c r="I62" s="24"/>
      <c r="J62" s="24"/>
      <c r="K62" s="24"/>
      <c r="L62" s="24"/>
      <c r="M62" s="24"/>
      <c r="N62" s="24"/>
      <c r="O62" s="24"/>
      <c r="P62" s="24"/>
      <c r="Q62" s="24"/>
      <c r="R62" s="24"/>
    </row>
    <row r="63" spans="1:18" ht="30">
      <c r="A63" s="10" t="s">
        <v>172</v>
      </c>
      <c r="B63" s="4" t="s">
        <v>173</v>
      </c>
      <c r="C63" t="s">
        <v>27</v>
      </c>
      <c r="D63" s="24" t="s">
        <v>30</v>
      </c>
      <c r="E63" s="5" t="s">
        <v>25</v>
      </c>
      <c r="F63" s="5" t="s">
        <v>174</v>
      </c>
      <c r="G63" s="5" t="s">
        <v>175</v>
      </c>
      <c r="Q63" s="5" t="s">
        <v>29</v>
      </c>
      <c r="R63" s="5" t="s">
        <v>28</v>
      </c>
    </row>
    <row r="64" spans="1:18">
      <c r="A64" s="18" t="s">
        <v>170</v>
      </c>
      <c r="B64" s="4" t="s">
        <v>171</v>
      </c>
      <c r="C64" t="s">
        <v>27</v>
      </c>
      <c r="D64" s="24" t="s">
        <v>30</v>
      </c>
      <c r="E64" s="5" t="s">
        <v>25</v>
      </c>
      <c r="I64" s="5" t="s">
        <v>119</v>
      </c>
      <c r="O64" s="5" t="s">
        <v>45</v>
      </c>
      <c r="Q64" s="5" t="s">
        <v>27</v>
      </c>
      <c r="R64" s="5" t="s">
        <v>28</v>
      </c>
    </row>
    <row r="65" spans="1:18">
      <c r="A65" s="18" t="s">
        <v>176</v>
      </c>
      <c r="B65" s="4" t="s">
        <v>177</v>
      </c>
      <c r="C65" t="s">
        <v>27</v>
      </c>
      <c r="D65" s="24" t="s">
        <v>49</v>
      </c>
      <c r="E65" s="5" t="s">
        <v>50</v>
      </c>
      <c r="I65" s="5" t="s">
        <v>178</v>
      </c>
      <c r="N65" s="5" t="s">
        <v>50</v>
      </c>
      <c r="Q65" s="5" t="s">
        <v>27</v>
      </c>
      <c r="R65" s="5" t="s">
        <v>28</v>
      </c>
    </row>
    <row r="66" spans="1:18">
      <c r="A66" s="18" t="s">
        <v>179</v>
      </c>
      <c r="B66" s="4" t="s">
        <v>180</v>
      </c>
      <c r="C66" t="s">
        <v>27</v>
      </c>
      <c r="D66" s="24" t="s">
        <v>49</v>
      </c>
      <c r="E66" s="5" t="s">
        <v>50</v>
      </c>
      <c r="I66" s="5" t="s">
        <v>178</v>
      </c>
      <c r="N66" s="5" t="s">
        <v>50</v>
      </c>
      <c r="Q66" s="5" t="s">
        <v>27</v>
      </c>
      <c r="R66" s="5" t="s">
        <v>28</v>
      </c>
    </row>
    <row r="67" spans="1:18">
      <c r="A67" s="70" t="s">
        <v>295</v>
      </c>
      <c r="B67" t="s">
        <v>276</v>
      </c>
      <c r="C67" t="s">
        <v>29</v>
      </c>
      <c r="D67" s="62" t="s">
        <v>49</v>
      </c>
      <c r="E67" s="63" t="s">
        <v>84</v>
      </c>
      <c r="F67" s="5" t="s">
        <v>27</v>
      </c>
      <c r="I67" s="5" t="s">
        <v>27</v>
      </c>
      <c r="Q67" s="5" t="s">
        <v>29</v>
      </c>
    </row>
    <row r="68" spans="1:18">
      <c r="A68" s="19" t="s">
        <v>181</v>
      </c>
      <c r="B68" s="20" t="s">
        <v>182</v>
      </c>
      <c r="C68" t="s">
        <v>29</v>
      </c>
      <c r="D68" s="28" t="s">
        <v>49</v>
      </c>
      <c r="E68" s="28" t="s">
        <v>84</v>
      </c>
      <c r="F68" s="28" t="s">
        <v>249</v>
      </c>
      <c r="G68" s="28"/>
      <c r="H68" s="24"/>
      <c r="I68" s="24" t="s">
        <v>50</v>
      </c>
      <c r="J68" s="24"/>
      <c r="K68" s="24"/>
      <c r="L68" s="24"/>
      <c r="M68" s="24"/>
      <c r="N68" s="24"/>
      <c r="O68" s="24"/>
      <c r="P68" s="24"/>
      <c r="Q68" s="24" t="s">
        <v>27</v>
      </c>
      <c r="R68" s="24"/>
    </row>
    <row r="69" spans="1:18">
      <c r="A69" s="18" t="s">
        <v>185</v>
      </c>
      <c r="B69" s="4" t="s">
        <v>186</v>
      </c>
      <c r="C69" t="s">
        <v>27</v>
      </c>
      <c r="D69" s="24" t="s">
        <v>100</v>
      </c>
      <c r="E69" s="5" t="s">
        <v>101</v>
      </c>
      <c r="F69" s="5" t="s">
        <v>187</v>
      </c>
      <c r="G69" s="5" t="s">
        <v>27</v>
      </c>
      <c r="H69" s="5" t="s">
        <v>188</v>
      </c>
      <c r="L69" s="5" t="s">
        <v>189</v>
      </c>
      <c r="P69" s="5" t="s">
        <v>27</v>
      </c>
      <c r="Q69" s="5" t="s">
        <v>27</v>
      </c>
      <c r="R69" s="5" t="s">
        <v>28</v>
      </c>
    </row>
    <row r="70" spans="1:18">
      <c r="A70" s="18" t="s">
        <v>190</v>
      </c>
      <c r="B70" s="4" t="s">
        <v>191</v>
      </c>
      <c r="C70" t="s">
        <v>27</v>
      </c>
      <c r="D70" s="24" t="s">
        <v>60</v>
      </c>
      <c r="E70" s="5" t="s">
        <v>61</v>
      </c>
      <c r="I70" s="5" t="s">
        <v>178</v>
      </c>
      <c r="N70" s="5" t="s">
        <v>61</v>
      </c>
      <c r="Q70" s="5" t="s">
        <v>27</v>
      </c>
      <c r="R70" s="5" t="s">
        <v>28</v>
      </c>
    </row>
    <row r="71" spans="1:18">
      <c r="A71" s="64" t="s">
        <v>296</v>
      </c>
      <c r="B71" s="58" t="s">
        <v>281</v>
      </c>
      <c r="D71" s="24"/>
    </row>
    <row r="72" spans="1:18">
      <c r="A72" s="18" t="s">
        <v>183</v>
      </c>
      <c r="B72" s="4" t="s">
        <v>184</v>
      </c>
      <c r="C72" t="s">
        <v>27</v>
      </c>
      <c r="D72" s="24" t="s">
        <v>60</v>
      </c>
      <c r="E72" s="5" t="s">
        <v>61</v>
      </c>
      <c r="I72" s="5" t="s">
        <v>178</v>
      </c>
      <c r="N72" s="5" t="s">
        <v>61</v>
      </c>
      <c r="Q72" s="5" t="s">
        <v>27</v>
      </c>
      <c r="R72" s="5" t="s">
        <v>28</v>
      </c>
    </row>
    <row r="73" spans="1:18">
      <c r="A73" s="19" t="s">
        <v>192</v>
      </c>
      <c r="B73" s="7" t="s">
        <v>193</v>
      </c>
      <c r="C73" t="s">
        <v>27</v>
      </c>
      <c r="D73" s="28" t="s">
        <v>194</v>
      </c>
      <c r="E73" s="28" t="s">
        <v>68</v>
      </c>
      <c r="F73" s="28" t="s">
        <v>38</v>
      </c>
      <c r="G73" s="24"/>
      <c r="H73" s="24"/>
      <c r="I73" s="24"/>
      <c r="J73" s="24"/>
      <c r="K73" s="24"/>
      <c r="L73" s="24"/>
      <c r="M73" s="24"/>
      <c r="N73" s="24"/>
      <c r="O73" s="24"/>
      <c r="P73" s="24"/>
      <c r="Q73" s="24" t="s">
        <v>29</v>
      </c>
      <c r="R73" s="24"/>
    </row>
    <row r="74" spans="1:18">
      <c r="A74" s="65" t="s">
        <v>297</v>
      </c>
      <c r="B74" s="61" t="s">
        <v>290</v>
      </c>
      <c r="C74" t="s">
        <v>275</v>
      </c>
      <c r="D74" s="66" t="s">
        <v>37</v>
      </c>
      <c r="E74" s="67" t="s">
        <v>38</v>
      </c>
    </row>
    <row r="75" spans="1:18">
      <c r="A75" s="18" t="s">
        <v>195</v>
      </c>
      <c r="B75" s="4" t="s">
        <v>196</v>
      </c>
      <c r="C75" t="s">
        <v>27</v>
      </c>
      <c r="D75" s="24" t="s">
        <v>49</v>
      </c>
      <c r="E75" s="5" t="s">
        <v>50</v>
      </c>
      <c r="G75" s="5" t="s">
        <v>50</v>
      </c>
      <c r="Q75" s="5" t="s">
        <v>27</v>
      </c>
      <c r="R75" s="5" t="s">
        <v>28</v>
      </c>
    </row>
    <row r="76" spans="1:18">
      <c r="A76" s="89" t="s">
        <v>299</v>
      </c>
      <c r="B76" s="7" t="s">
        <v>312</v>
      </c>
      <c r="C76" t="s">
        <v>27</v>
      </c>
      <c r="D76" s="24" t="s">
        <v>255</v>
      </c>
      <c r="E76" s="5" t="s">
        <v>259</v>
      </c>
      <c r="F76" s="9" t="s">
        <v>313</v>
      </c>
      <c r="I76" s="5" t="s">
        <v>259</v>
      </c>
      <c r="P76" s="5" t="s">
        <v>314</v>
      </c>
      <c r="Q76" s="5" t="s">
        <v>29</v>
      </c>
    </row>
    <row r="77" spans="1:18" ht="30">
      <c r="A77" s="18" t="s">
        <v>197</v>
      </c>
      <c r="B77" s="4" t="s">
        <v>198</v>
      </c>
      <c r="C77" t="s">
        <v>27</v>
      </c>
      <c r="D77" s="24" t="s">
        <v>30</v>
      </c>
      <c r="E77" s="5" t="s">
        <v>25</v>
      </c>
      <c r="F77" s="5" t="s">
        <v>199</v>
      </c>
      <c r="G77" s="5" t="s">
        <v>27</v>
      </c>
      <c r="H77" s="5" t="s">
        <v>25</v>
      </c>
      <c r="I77" s="5" t="s">
        <v>34</v>
      </c>
      <c r="L77" s="5" t="s">
        <v>27</v>
      </c>
      <c r="Q77" s="5" t="s">
        <v>27</v>
      </c>
      <c r="R77" s="5" t="s">
        <v>28</v>
      </c>
    </row>
    <row r="78" spans="1:18" ht="30">
      <c r="A78" s="64" t="s">
        <v>298</v>
      </c>
      <c r="B78" s="58" t="s">
        <v>279</v>
      </c>
      <c r="D78" s="24"/>
    </row>
    <row r="79" spans="1:18">
      <c r="A79" s="19" t="s">
        <v>200</v>
      </c>
      <c r="B79" s="7" t="s">
        <v>201</v>
      </c>
      <c r="C79" t="s">
        <v>27</v>
      </c>
      <c r="D79" s="27" t="s">
        <v>49</v>
      </c>
      <c r="E79" s="28" t="s">
        <v>84</v>
      </c>
      <c r="F79" s="28"/>
      <c r="G79" s="24" t="s">
        <v>57</v>
      </c>
      <c r="H79" s="24"/>
      <c r="I79" s="24" t="s">
        <v>250</v>
      </c>
      <c r="J79" s="24"/>
      <c r="K79" s="24"/>
      <c r="L79" s="24"/>
      <c r="M79" s="24"/>
      <c r="N79" s="24" t="s">
        <v>27</v>
      </c>
      <c r="O79" s="24"/>
      <c r="P79" s="24"/>
      <c r="Q79" s="24" t="s">
        <v>27</v>
      </c>
      <c r="R79" s="24"/>
    </row>
    <row r="80" spans="1:18">
      <c r="A80" s="17" t="s">
        <v>202</v>
      </c>
      <c r="B80" s="4" t="s">
        <v>203</v>
      </c>
      <c r="C80" t="s">
        <v>23</v>
      </c>
      <c r="D80" s="24" t="s">
        <v>49</v>
      </c>
      <c r="E80" s="5" t="s">
        <v>50</v>
      </c>
      <c r="I80" s="5" t="s">
        <v>40</v>
      </c>
      <c r="J80" s="5" t="s">
        <v>75</v>
      </c>
      <c r="O80" s="5" t="s">
        <v>204</v>
      </c>
      <c r="P80" s="5" t="s">
        <v>27</v>
      </c>
      <c r="Q80" s="5" t="s">
        <v>29</v>
      </c>
      <c r="R80" s="5" t="s">
        <v>28</v>
      </c>
    </row>
    <row r="81" spans="1:18">
      <c r="A81" s="17" t="s">
        <v>205</v>
      </c>
      <c r="B81" s="7" t="s">
        <v>206</v>
      </c>
      <c r="C81" t="s">
        <v>27</v>
      </c>
      <c r="D81" s="24" t="s">
        <v>49</v>
      </c>
      <c r="E81" s="5" t="s">
        <v>50</v>
      </c>
      <c r="F81" s="5" t="s">
        <v>207</v>
      </c>
      <c r="I81" s="5" t="s">
        <v>208</v>
      </c>
      <c r="Q81" s="5" t="s">
        <v>29</v>
      </c>
      <c r="R81" s="5" t="s">
        <v>28</v>
      </c>
    </row>
    <row r="82" spans="1:18" ht="30">
      <c r="A82" s="64" t="s">
        <v>300</v>
      </c>
      <c r="B82" s="58" t="s">
        <v>279</v>
      </c>
      <c r="D82" s="24"/>
    </row>
    <row r="83" spans="1:18">
      <c r="A83" s="68" t="s">
        <v>302</v>
      </c>
      <c r="B83" s="21" t="s">
        <v>276</v>
      </c>
      <c r="C83" t="s">
        <v>29</v>
      </c>
      <c r="D83" s="69" t="s">
        <v>24</v>
      </c>
      <c r="E83" s="67" t="s">
        <v>25</v>
      </c>
      <c r="F83" s="67"/>
    </row>
    <row r="84" spans="1:18">
      <c r="A84" s="84" t="s">
        <v>274</v>
      </c>
      <c r="B84" s="85" t="s">
        <v>281</v>
      </c>
      <c r="D84" s="24"/>
      <c r="E84" s="24"/>
      <c r="F84" s="24"/>
      <c r="G84" s="24"/>
      <c r="H84" s="24"/>
      <c r="I84" s="24"/>
      <c r="J84" s="24"/>
      <c r="K84" s="24"/>
      <c r="L84" s="24"/>
      <c r="M84" s="24"/>
      <c r="N84" s="24"/>
      <c r="O84" s="24"/>
      <c r="P84" s="24"/>
      <c r="Q84" s="24"/>
      <c r="R84" s="24"/>
    </row>
    <row r="85" spans="1:18" ht="30">
      <c r="A85" s="18" t="s">
        <v>228</v>
      </c>
      <c r="B85" s="4" t="s">
        <v>229</v>
      </c>
      <c r="C85" t="s">
        <v>27</v>
      </c>
      <c r="D85" s="24" t="s">
        <v>30</v>
      </c>
      <c r="E85" s="5" t="s">
        <v>25</v>
      </c>
      <c r="G85" s="5" t="s">
        <v>230</v>
      </c>
      <c r="I85" s="5" t="s">
        <v>231</v>
      </c>
      <c r="L85" s="5" t="s">
        <v>27</v>
      </c>
      <c r="Q85" s="5" t="s">
        <v>27</v>
      </c>
      <c r="R85" s="5" t="s">
        <v>28</v>
      </c>
    </row>
    <row r="86" spans="1:18">
      <c r="A86" s="56" t="s">
        <v>301</v>
      </c>
      <c r="B86" s="61" t="s">
        <v>290</v>
      </c>
      <c r="C86" t="s">
        <v>275</v>
      </c>
      <c r="D86" s="24" t="s">
        <v>275</v>
      </c>
      <c r="E86" s="5" t="s">
        <v>275</v>
      </c>
    </row>
    <row r="87" spans="1:18">
      <c r="A87" s="17" t="s">
        <v>209</v>
      </c>
      <c r="B87" s="4" t="s">
        <v>210</v>
      </c>
      <c r="C87" t="s">
        <v>115</v>
      </c>
      <c r="D87" s="24" t="s">
        <v>100</v>
      </c>
      <c r="E87" s="5" t="s">
        <v>101</v>
      </c>
      <c r="F87" s="5" t="s">
        <v>211</v>
      </c>
      <c r="G87" s="5" t="s">
        <v>116</v>
      </c>
      <c r="I87" s="5" t="s">
        <v>212</v>
      </c>
      <c r="Q87" s="5" t="s">
        <v>29</v>
      </c>
      <c r="R87" s="5" t="s">
        <v>28</v>
      </c>
    </row>
    <row r="88" spans="1:18">
      <c r="A88" s="17" t="s">
        <v>213</v>
      </c>
      <c r="B88" s="4" t="s">
        <v>214</v>
      </c>
      <c r="C88" t="s">
        <v>29</v>
      </c>
      <c r="D88" s="24" t="s">
        <v>60</v>
      </c>
      <c r="E88" s="5" t="s">
        <v>61</v>
      </c>
      <c r="F88" s="5" t="s">
        <v>215</v>
      </c>
      <c r="G88" s="5" t="s">
        <v>216</v>
      </c>
      <c r="I88" s="5" t="s">
        <v>217</v>
      </c>
      <c r="Q88" s="5" t="s">
        <v>29</v>
      </c>
      <c r="R88" s="5" t="s">
        <v>28</v>
      </c>
    </row>
    <row r="89" spans="1:18" ht="30">
      <c r="A89" s="18" t="s">
        <v>218</v>
      </c>
      <c r="B89" s="4" t="s">
        <v>219</v>
      </c>
      <c r="C89" t="s">
        <v>27</v>
      </c>
      <c r="D89" s="24" t="s">
        <v>30</v>
      </c>
      <c r="E89" s="5" t="s">
        <v>25</v>
      </c>
      <c r="I89" s="5" t="s">
        <v>119</v>
      </c>
      <c r="O89" s="5" t="s">
        <v>45</v>
      </c>
      <c r="Q89" s="5" t="s">
        <v>27</v>
      </c>
      <c r="R89" s="5" t="s">
        <v>28</v>
      </c>
    </row>
    <row r="90" spans="1:18" ht="30">
      <c r="A90" s="18" t="s">
        <v>220</v>
      </c>
      <c r="B90" s="4" t="s">
        <v>221</v>
      </c>
      <c r="C90" t="s">
        <v>115</v>
      </c>
      <c r="D90" s="24" t="s">
        <v>100</v>
      </c>
      <c r="E90" s="5" t="s">
        <v>101</v>
      </c>
      <c r="G90" s="5" t="s">
        <v>116</v>
      </c>
      <c r="I90" s="5" t="s">
        <v>222</v>
      </c>
      <c r="Q90" s="5" t="s">
        <v>27</v>
      </c>
      <c r="R90" s="5" t="s">
        <v>28</v>
      </c>
    </row>
    <row r="91" spans="1:18">
      <c r="A91" s="17" t="s">
        <v>223</v>
      </c>
      <c r="B91" s="4" t="s">
        <v>224</v>
      </c>
      <c r="C91" t="s">
        <v>27</v>
      </c>
      <c r="D91" s="24" t="s">
        <v>30</v>
      </c>
      <c r="E91" s="5" t="s">
        <v>25</v>
      </c>
      <c r="F91" s="5" t="s">
        <v>225</v>
      </c>
      <c r="G91" s="5" t="s">
        <v>226</v>
      </c>
      <c r="I91" s="5" t="s">
        <v>119</v>
      </c>
      <c r="L91" s="5" t="s">
        <v>227</v>
      </c>
      <c r="Q91" s="5" t="s">
        <v>29</v>
      </c>
      <c r="R91" s="5" t="s">
        <v>28</v>
      </c>
    </row>
    <row r="92" spans="1:18">
      <c r="A92" s="65" t="s">
        <v>303</v>
      </c>
      <c r="B92" s="61" t="s">
        <v>290</v>
      </c>
      <c r="C92" t="s">
        <v>275</v>
      </c>
      <c r="D92" s="24" t="s">
        <v>275</v>
      </c>
      <c r="E92" s="5" t="s">
        <v>275</v>
      </c>
    </row>
    <row r="93" spans="1:18">
      <c r="A93" s="86" t="s">
        <v>232</v>
      </c>
      <c r="B93" s="4" t="s">
        <v>276</v>
      </c>
      <c r="C93" t="s">
        <v>29</v>
      </c>
      <c r="D93" s="24" t="s">
        <v>30</v>
      </c>
      <c r="E93" s="5" t="s">
        <v>277</v>
      </c>
      <c r="F93" s="5" t="s">
        <v>27</v>
      </c>
      <c r="G93" s="5" t="s">
        <v>27</v>
      </c>
      <c r="I93" s="5" t="s">
        <v>45</v>
      </c>
      <c r="J93" s="5" t="s">
        <v>27</v>
      </c>
      <c r="N93" s="5" t="s">
        <v>45</v>
      </c>
      <c r="Q93" s="5" t="s">
        <v>27</v>
      </c>
      <c r="R93" s="5" t="s">
        <v>28</v>
      </c>
    </row>
    <row r="94" spans="1:18">
      <c r="A94" s="84" t="s">
        <v>304</v>
      </c>
      <c r="B94" s="58" t="s">
        <v>331</v>
      </c>
      <c r="D94" s="24"/>
    </row>
    <row r="95" spans="1:18">
      <c r="A95" s="18" t="s">
        <v>234</v>
      </c>
      <c r="B95" s="4" t="s">
        <v>235</v>
      </c>
      <c r="C95" t="s">
        <v>27</v>
      </c>
      <c r="D95" s="24" t="s">
        <v>49</v>
      </c>
      <c r="E95" s="5" t="s">
        <v>50</v>
      </c>
      <c r="I95" s="5" t="s">
        <v>178</v>
      </c>
      <c r="N95" s="5" t="s">
        <v>50</v>
      </c>
      <c r="Q95" s="5" t="s">
        <v>27</v>
      </c>
      <c r="R95" s="5" t="s">
        <v>28</v>
      </c>
    </row>
    <row r="96" spans="1:18">
      <c r="A96" s="64" t="s">
        <v>305</v>
      </c>
      <c r="B96" s="58" t="s">
        <v>279</v>
      </c>
      <c r="D96" s="24"/>
    </row>
    <row r="97" spans="1:18">
      <c r="A97" s="18" t="s">
        <v>236</v>
      </c>
      <c r="B97" s="4" t="s">
        <v>237</v>
      </c>
      <c r="C97" t="s">
        <v>27</v>
      </c>
      <c r="D97" s="24" t="s">
        <v>30</v>
      </c>
      <c r="E97" s="5" t="s">
        <v>25</v>
      </c>
      <c r="F97" s="5" t="s">
        <v>238</v>
      </c>
      <c r="G97" s="5" t="s">
        <v>25</v>
      </c>
      <c r="I97" s="5" t="s">
        <v>34</v>
      </c>
      <c r="P97" s="5" t="s">
        <v>239</v>
      </c>
      <c r="Q97" s="5" t="s">
        <v>27</v>
      </c>
      <c r="R97" s="5" t="s">
        <v>28</v>
      </c>
    </row>
    <row r="98" spans="1:18" ht="45">
      <c r="A98" s="18" t="s">
        <v>323</v>
      </c>
      <c r="B98" s="7" t="s">
        <v>325</v>
      </c>
      <c r="C98" t="s">
        <v>29</v>
      </c>
      <c r="D98" s="69" t="s">
        <v>60</v>
      </c>
      <c r="E98" s="28" t="s">
        <v>324</v>
      </c>
      <c r="F98" s="5" t="s">
        <v>259</v>
      </c>
      <c r="I98" s="5" t="s">
        <v>327</v>
      </c>
      <c r="J98" s="5" t="s">
        <v>38</v>
      </c>
      <c r="Q98" s="5" t="s">
        <v>29</v>
      </c>
      <c r="R98" s="5"/>
    </row>
    <row r="99" spans="1:18">
      <c r="A99" s="17" t="s">
        <v>240</v>
      </c>
      <c r="B99" s="4" t="s">
        <v>241</v>
      </c>
      <c r="C99" t="s">
        <v>27</v>
      </c>
      <c r="D99" s="24" t="s">
        <v>60</v>
      </c>
      <c r="E99" s="5" t="s">
        <v>61</v>
      </c>
      <c r="G99" s="5" t="s">
        <v>242</v>
      </c>
      <c r="I99" s="5" t="s">
        <v>45</v>
      </c>
      <c r="Q99" s="5" t="s">
        <v>29</v>
      </c>
      <c r="R99" s="5" t="s">
        <v>28</v>
      </c>
    </row>
    <row r="100" spans="1:18">
      <c r="A100" s="64" t="s">
        <v>306</v>
      </c>
      <c r="B100" s="58" t="s">
        <v>281</v>
      </c>
    </row>
    <row r="101" spans="1:18">
      <c r="A101" s="22"/>
    </row>
    <row r="102" spans="1:18">
      <c r="A102" s="22"/>
    </row>
    <row r="103" spans="1:18">
      <c r="A103" s="23"/>
    </row>
    <row r="104" spans="1:18">
      <c r="A104" s="22"/>
    </row>
  </sheetData>
  <autoFilter ref="A6:R100">
    <sortState ref="A7:R99">
      <sortCondition ref="A6:A100"/>
    </sortState>
  </autoFilter>
  <mergeCells count="1">
    <mergeCell ref="F5:Q5"/>
  </mergeCells>
  <hyperlinks>
    <hyperlink ref="B22" r:id="rId1"/>
    <hyperlink ref="B54" r:id="rId2"/>
    <hyperlink ref="B87" r:id="rId3"/>
    <hyperlink ref="B37" r:id="rId4"/>
    <hyperlink ref="B17" r:id="rId5"/>
    <hyperlink ref="B46" r:id="rId6"/>
    <hyperlink ref="B39" r:id="rId7"/>
    <hyperlink ref="B64" r:id="rId8"/>
    <hyperlink ref="B91" r:id="rId9"/>
    <hyperlink ref="B89" r:id="rId10"/>
    <hyperlink ref="B75" r:id="rId11"/>
    <hyperlink ref="B15" r:id="rId12"/>
    <hyperlink ref="B9" r:id="rId13"/>
    <hyperlink ref="B29" r:id="rId14"/>
    <hyperlink ref="B77" r:id="rId15"/>
    <hyperlink ref="B97" r:id="rId16"/>
    <hyperlink ref="B55" r:id="rId17"/>
    <hyperlink ref="B35" r:id="rId18"/>
    <hyperlink ref="B42" r:id="rId19"/>
    <hyperlink ref="B50" r:id="rId20"/>
    <hyperlink ref="B53" r:id="rId21"/>
    <hyperlink ref="B72" r:id="rId22"/>
    <hyperlink ref="B70" r:id="rId23"/>
    <hyperlink ref="B65" r:id="rId24"/>
    <hyperlink ref="B66" r:id="rId25"/>
    <hyperlink ref="B95" r:id="rId26"/>
    <hyperlink ref="B20" r:id="rId27"/>
    <hyperlink ref="B93" r:id="rId28"/>
    <hyperlink ref="B69" r:id="rId29"/>
    <hyperlink ref="B88" r:id="rId30"/>
    <hyperlink ref="B63" r:id="rId31"/>
    <hyperlink ref="B40" r:id="rId32"/>
    <hyperlink ref="B41" r:id="rId33"/>
    <hyperlink ref="B31" r:id="rId34"/>
    <hyperlink ref="B33" r:id="rId35"/>
    <hyperlink ref="B90" r:id="rId36"/>
    <hyperlink ref="B28" r:id="rId37"/>
    <hyperlink ref="B85" r:id="rId38"/>
    <hyperlink ref="B59" r:id="rId39"/>
    <hyperlink ref="B56" r:id="rId40"/>
    <hyperlink ref="B10" r:id="rId41"/>
    <hyperlink ref="B60" r:id="rId42"/>
    <hyperlink ref="B13" r:id="rId43"/>
    <hyperlink ref="B7" r:id="rId44"/>
    <hyperlink ref="B99" r:id="rId45"/>
    <hyperlink ref="B80" r:id="rId46"/>
    <hyperlink ref="B38" r:id="rId47"/>
    <hyperlink ref="B11" r:id="rId48"/>
    <hyperlink ref="B18" r:id="rId49"/>
    <hyperlink ref="B81" r:id="rId50"/>
    <hyperlink ref="B51" r:id="rId51"/>
    <hyperlink ref="B27" r:id="rId52"/>
    <hyperlink ref="B44" r:id="rId53"/>
    <hyperlink ref="B52" r:id="rId54"/>
    <hyperlink ref="B32" r:id="rId55"/>
    <hyperlink ref="B12" r:id="rId56"/>
    <hyperlink ref="B21" r:id="rId57"/>
    <hyperlink ref="B23" r:id="rId58"/>
    <hyperlink ref="B43" r:id="rId59"/>
    <hyperlink ref="B68" r:id="rId60"/>
    <hyperlink ref="B73" r:id="rId61"/>
    <hyperlink ref="B79" r:id="rId62"/>
    <hyperlink ref="B8" r:id="rId63" display="A99395"/>
    <hyperlink ref="B26" r:id="rId64" display="https://apps.cer-rec.gc.ca/REGDOCS/Item/View/3785266"/>
    <hyperlink ref="B98" r:id="rId65"/>
    <hyperlink ref="B61" r:id="rId66"/>
    <hyperlink ref="B62" r:id="rId67"/>
  </hyperlinks>
  <pageMargins left="0.7" right="0.7" top="0.75" bottom="0.75" header="0.3" footer="0.3"/>
  <legacyDrawing r:id="rId6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Y21"/>
  <sheetViews>
    <sheetView tabSelected="1" workbookViewId="0">
      <selection activeCell="E14" sqref="E14"/>
    </sheetView>
  </sheetViews>
  <sheetFormatPr defaultRowHeight="15"/>
  <cols>
    <col min="2" max="2" width="25.5703125" bestFit="1" customWidth="1"/>
    <col min="5" max="5" width="10.42578125" customWidth="1"/>
    <col min="8" max="8" width="25.5703125" bestFit="1" customWidth="1"/>
    <col min="9" max="9" width="19.7109375" bestFit="1" customWidth="1"/>
    <col min="10" max="10" width="20.7109375" customWidth="1"/>
    <col min="11" max="11" width="9.140625" customWidth="1"/>
  </cols>
  <sheetData>
    <row r="1" spans="2:25">
      <c r="Y1" t="s">
        <v>28</v>
      </c>
    </row>
    <row r="3" spans="2:25" ht="15.75">
      <c r="B3" s="114" t="s">
        <v>320</v>
      </c>
      <c r="C3" s="114"/>
      <c r="D3" s="114"/>
      <c r="E3" s="114"/>
      <c r="H3" s="114" t="s">
        <v>318</v>
      </c>
      <c r="I3" s="114"/>
      <c r="J3" s="114"/>
      <c r="K3" s="114"/>
      <c r="L3" s="114"/>
    </row>
    <row r="4" spans="2:25" ht="30">
      <c r="B4" s="74" t="s">
        <v>319</v>
      </c>
      <c r="C4" s="87">
        <v>94</v>
      </c>
      <c r="H4" s="76" t="s">
        <v>269</v>
      </c>
      <c r="I4" s="76" t="s">
        <v>270</v>
      </c>
      <c r="J4" s="76" t="s">
        <v>317</v>
      </c>
    </row>
    <row r="5" spans="2:25">
      <c r="B5" s="74" t="s">
        <v>328</v>
      </c>
      <c r="C5" s="87">
        <v>17</v>
      </c>
      <c r="H5" s="46" t="s">
        <v>8</v>
      </c>
      <c r="I5">
        <v>37</v>
      </c>
      <c r="J5" s="31">
        <f t="shared" ref="J5:J16" si="0">I5/$I$18</f>
        <v>0.54411764705882348</v>
      </c>
    </row>
    <row r="6" spans="2:25">
      <c r="B6" s="75" t="s">
        <v>308</v>
      </c>
      <c r="C6" s="87">
        <v>62</v>
      </c>
      <c r="H6" s="47" t="s">
        <v>9</v>
      </c>
      <c r="I6">
        <v>39</v>
      </c>
      <c r="J6" s="31">
        <f t="shared" si="0"/>
        <v>0.57352941176470584</v>
      </c>
    </row>
    <row r="7" spans="2:25">
      <c r="B7" s="75" t="s">
        <v>309</v>
      </c>
      <c r="C7" s="87">
        <v>11</v>
      </c>
      <c r="H7" s="47" t="s">
        <v>10</v>
      </c>
      <c r="I7">
        <v>14</v>
      </c>
      <c r="J7" s="31">
        <f t="shared" si="0"/>
        <v>0.20588235294117646</v>
      </c>
    </row>
    <row r="8" spans="2:25">
      <c r="B8" s="75" t="s">
        <v>310</v>
      </c>
      <c r="C8" s="87">
        <v>58</v>
      </c>
      <c r="H8" s="46" t="s">
        <v>11</v>
      </c>
      <c r="I8">
        <v>57</v>
      </c>
      <c r="J8" s="31">
        <f t="shared" si="0"/>
        <v>0.83823529411764708</v>
      </c>
    </row>
    <row r="9" spans="2:25">
      <c r="B9" s="75" t="s">
        <v>311</v>
      </c>
      <c r="C9" s="87">
        <v>15</v>
      </c>
      <c r="H9" s="47" t="s">
        <v>12</v>
      </c>
      <c r="I9">
        <v>8</v>
      </c>
      <c r="J9" s="31">
        <f t="shared" si="0"/>
        <v>0.11764705882352941</v>
      </c>
    </row>
    <row r="10" spans="2:25">
      <c r="B10" s="45" t="s">
        <v>307</v>
      </c>
      <c r="C10" s="90">
        <v>4</v>
      </c>
      <c r="H10" s="46" t="s">
        <v>13</v>
      </c>
      <c r="I10">
        <v>0</v>
      </c>
      <c r="J10" s="31">
        <f t="shared" si="0"/>
        <v>0</v>
      </c>
    </row>
    <row r="11" spans="2:25">
      <c r="H11" s="47" t="s">
        <v>14</v>
      </c>
      <c r="I11">
        <v>13</v>
      </c>
      <c r="J11" s="31">
        <f t="shared" si="0"/>
        <v>0.19117647058823528</v>
      </c>
    </row>
    <row r="12" spans="2:25">
      <c r="H12" s="46" t="s">
        <v>15</v>
      </c>
      <c r="I12">
        <v>0</v>
      </c>
      <c r="J12" s="31">
        <f t="shared" si="0"/>
        <v>0</v>
      </c>
    </row>
    <row r="13" spans="2:25">
      <c r="H13" s="47" t="s">
        <v>16</v>
      </c>
      <c r="I13">
        <v>14</v>
      </c>
      <c r="J13" s="31">
        <f t="shared" si="0"/>
        <v>0.20588235294117646</v>
      </c>
    </row>
    <row r="14" spans="2:25" ht="30">
      <c r="H14" s="47" t="s">
        <v>273</v>
      </c>
      <c r="I14">
        <v>8</v>
      </c>
      <c r="J14" s="31">
        <f t="shared" si="0"/>
        <v>0.11764705882352941</v>
      </c>
    </row>
    <row r="15" spans="2:25">
      <c r="H15" s="47" t="s">
        <v>18</v>
      </c>
      <c r="I15">
        <v>12</v>
      </c>
      <c r="J15" s="31">
        <f t="shared" si="0"/>
        <v>0.17647058823529413</v>
      </c>
    </row>
    <row r="16" spans="2:25">
      <c r="H16" s="78" t="s">
        <v>271</v>
      </c>
      <c r="I16">
        <v>39</v>
      </c>
      <c r="J16" s="31">
        <f t="shared" si="0"/>
        <v>0.57352941176470584</v>
      </c>
      <c r="K16" t="s">
        <v>340</v>
      </c>
    </row>
    <row r="18" spans="8:9">
      <c r="H18" s="49" t="s">
        <v>272</v>
      </c>
      <c r="I18" s="48">
        <v>68</v>
      </c>
    </row>
    <row r="19" spans="8:9">
      <c r="H19" t="s">
        <v>335</v>
      </c>
    </row>
    <row r="20" spans="8:9">
      <c r="H20" t="s">
        <v>334</v>
      </c>
    </row>
    <row r="21" spans="8:9">
      <c r="H21" t="s">
        <v>337</v>
      </c>
    </row>
  </sheetData>
  <mergeCells count="2">
    <mergeCell ref="B3:E3"/>
    <mergeCell ref="H3:L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18"/>
  <sheetViews>
    <sheetView workbookViewId="0">
      <selection activeCell="C36" sqref="C36"/>
    </sheetView>
  </sheetViews>
  <sheetFormatPr defaultRowHeight="15"/>
  <cols>
    <col min="2" max="2" width="24.28515625" customWidth="1"/>
    <col min="3" max="3" width="30.7109375" bestFit="1" customWidth="1"/>
    <col min="4" max="4" width="21.7109375" bestFit="1" customWidth="1"/>
    <col min="5" max="5" width="16.85546875" bestFit="1" customWidth="1"/>
    <col min="6" max="6" width="15.5703125" customWidth="1"/>
  </cols>
  <sheetData>
    <row r="3" spans="2:6">
      <c r="B3" s="115" t="s">
        <v>333</v>
      </c>
      <c r="C3" s="115"/>
      <c r="D3" s="115"/>
      <c r="E3" s="115"/>
      <c r="F3" s="115"/>
    </row>
    <row r="4" spans="2:6" ht="30">
      <c r="B4" s="41" t="s">
        <v>251</v>
      </c>
      <c r="C4" s="41" t="s">
        <v>253</v>
      </c>
      <c r="D4" s="42" t="s">
        <v>262</v>
      </c>
      <c r="E4" s="43" t="s">
        <v>260</v>
      </c>
      <c r="F4" s="44" t="s">
        <v>261</v>
      </c>
    </row>
    <row r="5" spans="2:6">
      <c r="B5" t="s">
        <v>252</v>
      </c>
      <c r="C5" t="s">
        <v>100</v>
      </c>
      <c r="D5" t="s">
        <v>101</v>
      </c>
      <c r="E5" s="19">
        <v>5</v>
      </c>
      <c r="F5" s="32">
        <f t="shared" ref="F5:F14" si="0">E5/$E$15</f>
        <v>6.8493150684931503E-2</v>
      </c>
    </row>
    <row r="6" spans="2:6">
      <c r="B6" t="s">
        <v>252</v>
      </c>
      <c r="C6" t="s">
        <v>60</v>
      </c>
      <c r="D6" t="s">
        <v>61</v>
      </c>
      <c r="E6" s="19">
        <v>15</v>
      </c>
      <c r="F6" s="32">
        <f t="shared" si="0"/>
        <v>0.20547945205479451</v>
      </c>
    </row>
    <row r="7" spans="2:6">
      <c r="B7" t="s">
        <v>252</v>
      </c>
      <c r="C7" t="s">
        <v>24</v>
      </c>
      <c r="D7" t="s">
        <v>25</v>
      </c>
      <c r="E7" s="19">
        <v>4</v>
      </c>
      <c r="F7" s="32">
        <f t="shared" si="0"/>
        <v>5.4794520547945202E-2</v>
      </c>
    </row>
    <row r="8" spans="2:6">
      <c r="B8" t="s">
        <v>254</v>
      </c>
      <c r="C8" t="s">
        <v>30</v>
      </c>
      <c r="D8" t="s">
        <v>25</v>
      </c>
      <c r="E8" s="19">
        <v>20</v>
      </c>
      <c r="F8" s="32">
        <f t="shared" si="0"/>
        <v>0.27397260273972601</v>
      </c>
    </row>
    <row r="9" spans="2:6">
      <c r="B9" t="s">
        <v>254</v>
      </c>
      <c r="C9" t="s">
        <v>49</v>
      </c>
      <c r="D9" t="s">
        <v>50</v>
      </c>
      <c r="E9" s="19">
        <v>20</v>
      </c>
      <c r="F9" s="32">
        <f t="shared" si="0"/>
        <v>0.27397260273972601</v>
      </c>
    </row>
    <row r="10" spans="2:6">
      <c r="B10" t="s">
        <v>254</v>
      </c>
      <c r="C10" t="s">
        <v>62</v>
      </c>
      <c r="D10" t="s">
        <v>50</v>
      </c>
      <c r="E10" s="19">
        <v>4</v>
      </c>
      <c r="F10" s="32">
        <f t="shared" si="0"/>
        <v>5.4794520547945202E-2</v>
      </c>
    </row>
    <row r="11" spans="2:6">
      <c r="B11" t="s">
        <v>254</v>
      </c>
      <c r="C11" t="s">
        <v>37</v>
      </c>
      <c r="D11" t="s">
        <v>38</v>
      </c>
      <c r="E11" s="19">
        <v>3</v>
      </c>
      <c r="F11" s="32">
        <f t="shared" si="0"/>
        <v>4.1095890410958902E-2</v>
      </c>
    </row>
    <row r="12" spans="2:6">
      <c r="B12" t="s">
        <v>256</v>
      </c>
      <c r="C12" t="s">
        <v>257</v>
      </c>
      <c r="D12" t="s">
        <v>38</v>
      </c>
      <c r="E12" s="19">
        <v>1</v>
      </c>
      <c r="F12" s="32">
        <f t="shared" si="0"/>
        <v>1.3698630136986301E-2</v>
      </c>
    </row>
    <row r="13" spans="2:6">
      <c r="B13" t="s">
        <v>256</v>
      </c>
      <c r="C13" t="s">
        <v>258</v>
      </c>
      <c r="D13" t="s">
        <v>259</v>
      </c>
      <c r="E13" s="19">
        <v>0</v>
      </c>
      <c r="F13" s="32">
        <f t="shared" si="0"/>
        <v>0</v>
      </c>
    </row>
    <row r="14" spans="2:6" ht="15.75" thickBot="1">
      <c r="B14" t="s">
        <v>255</v>
      </c>
      <c r="C14" t="s">
        <v>255</v>
      </c>
      <c r="D14" s="30" t="s">
        <v>259</v>
      </c>
      <c r="E14" s="33">
        <v>1</v>
      </c>
      <c r="F14" s="32">
        <f t="shared" si="0"/>
        <v>1.3698630136986301E-2</v>
      </c>
    </row>
    <row r="15" spans="2:6">
      <c r="D15" s="34" t="s">
        <v>263</v>
      </c>
      <c r="E15" s="35">
        <f>SUM(E5:E14)</f>
        <v>73</v>
      </c>
    </row>
    <row r="17" spans="2:2">
      <c r="B17" t="s">
        <v>335</v>
      </c>
    </row>
    <row r="18" spans="2:2">
      <c r="B18" t="s">
        <v>334</v>
      </c>
    </row>
  </sheetData>
  <mergeCells count="1">
    <mergeCell ref="B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9"/>
  <sheetViews>
    <sheetView workbookViewId="0">
      <selection activeCell="D24" sqref="D24"/>
    </sheetView>
  </sheetViews>
  <sheetFormatPr defaultRowHeight="15"/>
  <cols>
    <col min="1" max="1" width="26.85546875" customWidth="1"/>
    <col min="2" max="2" width="12.5703125" customWidth="1"/>
    <col min="3" max="3" width="18" customWidth="1"/>
    <col min="4" max="4" width="17.5703125" customWidth="1"/>
  </cols>
  <sheetData>
    <row r="1" spans="1:4">
      <c r="A1" t="s">
        <v>0</v>
      </c>
    </row>
    <row r="5" spans="1:4" ht="15.75">
      <c r="A5" s="114" t="s">
        <v>268</v>
      </c>
      <c r="B5" s="114"/>
      <c r="C5" s="114"/>
      <c r="D5" s="114"/>
    </row>
    <row r="6" spans="1:4" ht="30">
      <c r="A6" s="50" t="s">
        <v>264</v>
      </c>
      <c r="B6" s="50" t="s">
        <v>251</v>
      </c>
      <c r="C6" s="51" t="s">
        <v>265</v>
      </c>
      <c r="D6" s="51" t="s">
        <v>262</v>
      </c>
    </row>
    <row r="7" spans="1:4" ht="30">
      <c r="A7" s="36" t="s">
        <v>41</v>
      </c>
      <c r="B7" t="s">
        <v>254</v>
      </c>
      <c r="C7" t="s">
        <v>30</v>
      </c>
      <c r="D7" t="s">
        <v>25</v>
      </c>
    </row>
    <row r="8" spans="1:4">
      <c r="A8" s="8" t="s">
        <v>95</v>
      </c>
      <c r="B8" t="s">
        <v>252</v>
      </c>
      <c r="C8" t="s">
        <v>24</v>
      </c>
      <c r="D8" t="s">
        <v>25</v>
      </c>
    </row>
    <row r="9" spans="1:4">
      <c r="A9" s="11" t="s">
        <v>98</v>
      </c>
      <c r="B9" t="s">
        <v>252</v>
      </c>
      <c r="C9" t="s">
        <v>100</v>
      </c>
      <c r="D9" t="s">
        <v>101</v>
      </c>
    </row>
    <row r="10" spans="1:4">
      <c r="A10" s="3" t="s">
        <v>117</v>
      </c>
      <c r="B10" t="s">
        <v>254</v>
      </c>
      <c r="C10" t="s">
        <v>30</v>
      </c>
      <c r="D10" t="s">
        <v>25</v>
      </c>
    </row>
    <row r="11" spans="1:4" ht="45">
      <c r="A11" s="18" t="s">
        <v>150</v>
      </c>
      <c r="B11" t="s">
        <v>254</v>
      </c>
      <c r="C11" t="s">
        <v>30</v>
      </c>
      <c r="D11" t="s">
        <v>25</v>
      </c>
    </row>
    <row r="12" spans="1:4">
      <c r="A12" s="18" t="s">
        <v>170</v>
      </c>
      <c r="B12" t="s">
        <v>254</v>
      </c>
      <c r="C12" t="s">
        <v>30</v>
      </c>
      <c r="D12" t="s">
        <v>25</v>
      </c>
    </row>
    <row r="13" spans="1:4">
      <c r="A13" s="18" t="s">
        <v>183</v>
      </c>
      <c r="B13" t="s">
        <v>252</v>
      </c>
      <c r="C13" t="s">
        <v>60</v>
      </c>
      <c r="D13" t="s">
        <v>61</v>
      </c>
    </row>
    <row r="14" spans="1:4">
      <c r="A14" s="10" t="s">
        <v>209</v>
      </c>
      <c r="B14" t="s">
        <v>252</v>
      </c>
      <c r="C14" t="s">
        <v>100</v>
      </c>
      <c r="D14" t="s">
        <v>101</v>
      </c>
    </row>
    <row r="15" spans="1:4" ht="30">
      <c r="A15" s="10" t="s">
        <v>213</v>
      </c>
      <c r="B15" t="s">
        <v>252</v>
      </c>
      <c r="C15" t="s">
        <v>60</v>
      </c>
      <c r="D15" t="s">
        <v>61</v>
      </c>
    </row>
    <row r="16" spans="1:4" ht="30">
      <c r="A16" s="18" t="s">
        <v>218</v>
      </c>
      <c r="B16" t="s">
        <v>254</v>
      </c>
      <c r="C16" t="s">
        <v>30</v>
      </c>
      <c r="D16" t="s">
        <v>25</v>
      </c>
    </row>
    <row r="17" spans="1:4" ht="30">
      <c r="A17" s="18" t="s">
        <v>220</v>
      </c>
      <c r="B17" t="s">
        <v>252</v>
      </c>
      <c r="C17" t="s">
        <v>100</v>
      </c>
      <c r="D17" t="s">
        <v>101</v>
      </c>
    </row>
    <row r="18" spans="1:4">
      <c r="A18" s="17" t="s">
        <v>223</v>
      </c>
      <c r="B18" t="s">
        <v>254</v>
      </c>
      <c r="C18" t="s">
        <v>30</v>
      </c>
      <c r="D18" t="s">
        <v>25</v>
      </c>
    </row>
    <row r="19" spans="1:4">
      <c r="A19" s="18" t="s">
        <v>236</v>
      </c>
      <c r="B19" t="s">
        <v>254</v>
      </c>
      <c r="C19" t="s">
        <v>30</v>
      </c>
      <c r="D19" t="s">
        <v>25</v>
      </c>
    </row>
  </sheetData>
  <autoFilter ref="A6:D6">
    <sortState ref="A7:D19">
      <sortCondition ref="A6"/>
    </sortState>
  </autoFilter>
  <mergeCells count="1">
    <mergeCell ref="A5:D5"/>
  </mergeCells>
  <conditionalFormatting sqref="A7:A20">
    <cfRule type="duplicateValues" dxfId="16" priority="26"/>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4"/>
  <sheetViews>
    <sheetView topLeftCell="A39" zoomScaleNormal="100" workbookViewId="0">
      <selection activeCell="F23" sqref="F23"/>
    </sheetView>
  </sheetViews>
  <sheetFormatPr defaultRowHeight="15"/>
  <cols>
    <col min="1" max="1" width="28.42578125" customWidth="1"/>
    <col min="2" max="2" width="14" customWidth="1"/>
    <col min="3" max="3" width="18" customWidth="1"/>
    <col min="4" max="4" width="17.5703125" customWidth="1"/>
    <col min="6" max="6" width="28" customWidth="1"/>
    <col min="7" max="7" width="9.140625" customWidth="1"/>
    <col min="8" max="8" width="13.42578125" bestFit="1" customWidth="1"/>
    <col min="9" max="9" width="14.7109375" bestFit="1" customWidth="1"/>
    <col min="10" max="10" width="12.42578125" customWidth="1"/>
  </cols>
  <sheetData>
    <row r="1" spans="1:7">
      <c r="A1" t="s">
        <v>0</v>
      </c>
    </row>
    <row r="3" spans="1:7" ht="15.75">
      <c r="A3" s="114" t="s">
        <v>267</v>
      </c>
      <c r="B3" s="114"/>
      <c r="C3" s="114"/>
      <c r="D3" s="114"/>
      <c r="F3" s="92"/>
      <c r="G3" t="s">
        <v>336</v>
      </c>
    </row>
    <row r="4" spans="1:7" ht="30">
      <c r="A4" s="50" t="s">
        <v>3</v>
      </c>
      <c r="B4" s="50" t="s">
        <v>251</v>
      </c>
      <c r="C4" s="51" t="s">
        <v>265</v>
      </c>
      <c r="D4" s="51" t="s">
        <v>262</v>
      </c>
    </row>
    <row r="5" spans="1:7">
      <c r="A5" s="3" t="s">
        <v>21</v>
      </c>
      <c r="B5" s="37" t="s">
        <v>252</v>
      </c>
      <c r="C5" s="24" t="s">
        <v>24</v>
      </c>
      <c r="D5" s="5" t="s">
        <v>25</v>
      </c>
      <c r="F5" s="28"/>
    </row>
    <row r="6" spans="1:7" ht="45">
      <c r="A6" s="79" t="s">
        <v>321</v>
      </c>
      <c r="B6" s="37" t="s">
        <v>254</v>
      </c>
      <c r="C6" s="24" t="s">
        <v>30</v>
      </c>
      <c r="D6" s="5" t="s">
        <v>25</v>
      </c>
      <c r="F6" s="28"/>
    </row>
    <row r="7" spans="1:7">
      <c r="A7" s="8" t="s">
        <v>31</v>
      </c>
      <c r="B7" s="21" t="s">
        <v>254</v>
      </c>
      <c r="C7" s="24" t="s">
        <v>30</v>
      </c>
      <c r="D7" s="5" t="s">
        <v>25</v>
      </c>
      <c r="F7" s="5"/>
    </row>
    <row r="8" spans="1:7">
      <c r="A8" s="3" t="s">
        <v>35</v>
      </c>
      <c r="B8" s="37" t="s">
        <v>254</v>
      </c>
      <c r="C8" s="24" t="s">
        <v>37</v>
      </c>
      <c r="D8" s="5" t="s">
        <v>38</v>
      </c>
      <c r="F8" s="5"/>
    </row>
    <row r="9" spans="1:7">
      <c r="A9" s="3" t="s">
        <v>47</v>
      </c>
      <c r="B9" s="21" t="s">
        <v>254</v>
      </c>
      <c r="C9" s="24" t="s">
        <v>49</v>
      </c>
      <c r="D9" s="5" t="s">
        <v>50</v>
      </c>
      <c r="F9" s="5"/>
    </row>
    <row r="10" spans="1:7">
      <c r="A10" s="10" t="s">
        <v>52</v>
      </c>
      <c r="B10" s="37" t="s">
        <v>254</v>
      </c>
      <c r="C10" s="24" t="s">
        <v>49</v>
      </c>
      <c r="D10" s="5" t="s">
        <v>50</v>
      </c>
      <c r="F10" s="5"/>
    </row>
    <row r="11" spans="1:7">
      <c r="A11" s="3" t="s">
        <v>58</v>
      </c>
      <c r="B11" s="37" t="s">
        <v>252</v>
      </c>
      <c r="C11" s="24" t="s">
        <v>60</v>
      </c>
      <c r="D11" s="5" t="s">
        <v>61</v>
      </c>
      <c r="F11" s="5"/>
    </row>
    <row r="12" spans="1:7">
      <c r="A12" s="71" t="s">
        <v>282</v>
      </c>
      <c r="B12" s="37" t="s">
        <v>254</v>
      </c>
      <c r="C12" s="24" t="s">
        <v>62</v>
      </c>
      <c r="D12" s="5" t="s">
        <v>50</v>
      </c>
      <c r="F12" s="5"/>
    </row>
    <row r="13" spans="1:7">
      <c r="A13" s="10" t="s">
        <v>63</v>
      </c>
      <c r="B13" s="37" t="s">
        <v>254</v>
      </c>
      <c r="C13" s="24" t="s">
        <v>62</v>
      </c>
      <c r="D13" s="5" t="s">
        <v>50</v>
      </c>
      <c r="F13" s="5"/>
    </row>
    <row r="14" spans="1:7">
      <c r="A14" s="11" t="s">
        <v>66</v>
      </c>
      <c r="B14" s="21" t="s">
        <v>254</v>
      </c>
      <c r="C14" s="28" t="s">
        <v>37</v>
      </c>
      <c r="D14" s="28" t="s">
        <v>68</v>
      </c>
      <c r="F14" s="63"/>
    </row>
    <row r="15" spans="1:7" ht="30">
      <c r="A15" s="10" t="s">
        <v>69</v>
      </c>
      <c r="B15" s="37" t="s">
        <v>252</v>
      </c>
      <c r="C15" s="25" t="s">
        <v>60</v>
      </c>
      <c r="D15" s="5" t="s">
        <v>61</v>
      </c>
      <c r="F15" s="67"/>
    </row>
    <row r="16" spans="1:7" ht="30">
      <c r="A16" s="3" t="s">
        <v>73</v>
      </c>
      <c r="B16" s="21" t="s">
        <v>254</v>
      </c>
      <c r="C16" s="24" t="s">
        <v>49</v>
      </c>
      <c r="D16" s="5" t="s">
        <v>50</v>
      </c>
      <c r="F16" s="5"/>
    </row>
    <row r="17" spans="1:10">
      <c r="A17" s="59" t="s">
        <v>284</v>
      </c>
      <c r="B17" s="21" t="s">
        <v>254</v>
      </c>
      <c r="C17" s="24" t="s">
        <v>30</v>
      </c>
      <c r="D17" s="5" t="s">
        <v>25</v>
      </c>
      <c r="F17" s="5"/>
    </row>
    <row r="18" spans="1:10">
      <c r="A18" s="11" t="s">
        <v>76</v>
      </c>
      <c r="B18" s="21" t="s">
        <v>254</v>
      </c>
      <c r="C18" s="27" t="s">
        <v>49</v>
      </c>
      <c r="D18" s="28" t="s">
        <v>50</v>
      </c>
      <c r="F18" s="5"/>
    </row>
    <row r="19" spans="1:10" ht="30">
      <c r="A19" s="10" t="s">
        <v>78</v>
      </c>
      <c r="B19" s="37" t="s">
        <v>254</v>
      </c>
      <c r="C19" s="24" t="s">
        <v>49</v>
      </c>
      <c r="D19" s="5" t="s">
        <v>50</v>
      </c>
      <c r="F19" s="5"/>
    </row>
    <row r="20" spans="1:10">
      <c r="A20" s="11" t="s">
        <v>81</v>
      </c>
      <c r="B20" s="21" t="s">
        <v>254</v>
      </c>
      <c r="C20" s="28" t="s">
        <v>37</v>
      </c>
      <c r="D20" s="28" t="s">
        <v>68</v>
      </c>
      <c r="F20" s="5"/>
    </row>
    <row r="21" spans="1:10">
      <c r="A21" s="11" t="s">
        <v>83</v>
      </c>
      <c r="B21" s="21" t="s">
        <v>254</v>
      </c>
      <c r="C21" s="28" t="s">
        <v>62</v>
      </c>
      <c r="D21" s="28" t="s">
        <v>84</v>
      </c>
      <c r="F21" s="5"/>
    </row>
    <row r="22" spans="1:10" ht="30">
      <c r="A22" s="10" t="s">
        <v>85</v>
      </c>
      <c r="B22" s="21" t="s">
        <v>254</v>
      </c>
      <c r="C22" s="24" t="s">
        <v>30</v>
      </c>
      <c r="D22" s="5" t="s">
        <v>25</v>
      </c>
      <c r="F22" s="10"/>
      <c r="G22" s="4"/>
      <c r="I22" s="24"/>
      <c r="J22" s="5"/>
    </row>
    <row r="23" spans="1:10" ht="60">
      <c r="A23" s="3" t="s">
        <v>88</v>
      </c>
      <c r="B23" s="37" t="s">
        <v>252</v>
      </c>
      <c r="C23" s="24" t="s">
        <v>60</v>
      </c>
      <c r="D23" s="5" t="s">
        <v>61</v>
      </c>
      <c r="F23" s="3"/>
      <c r="G23" s="4"/>
      <c r="I23" s="24"/>
      <c r="J23" s="5"/>
    </row>
    <row r="24" spans="1:10">
      <c r="A24" s="11" t="s">
        <v>90</v>
      </c>
      <c r="B24" s="21" t="s">
        <v>254</v>
      </c>
      <c r="C24" s="24" t="s">
        <v>49</v>
      </c>
      <c r="D24" s="5" t="s">
        <v>50</v>
      </c>
      <c r="F24" s="10"/>
      <c r="G24" s="4"/>
      <c r="I24" s="24"/>
      <c r="J24" s="5"/>
    </row>
    <row r="25" spans="1:10" ht="45">
      <c r="A25" s="3" t="s">
        <v>105</v>
      </c>
      <c r="B25" s="21" t="s">
        <v>252</v>
      </c>
      <c r="C25" s="24" t="s">
        <v>60</v>
      </c>
      <c r="D25" s="5" t="s">
        <v>61</v>
      </c>
      <c r="F25" s="11"/>
      <c r="G25" s="7"/>
      <c r="I25" s="28"/>
      <c r="J25" s="28"/>
    </row>
    <row r="26" spans="1:10">
      <c r="A26" s="10" t="s">
        <v>109</v>
      </c>
      <c r="B26" s="21" t="s">
        <v>254</v>
      </c>
      <c r="C26" s="24" t="s">
        <v>49</v>
      </c>
      <c r="D26" s="5" t="s">
        <v>50</v>
      </c>
      <c r="F26" s="10"/>
      <c r="G26" s="4"/>
      <c r="I26" s="25"/>
      <c r="J26" s="5"/>
    </row>
    <row r="27" spans="1:10" ht="45">
      <c r="A27" s="3" t="s">
        <v>113</v>
      </c>
      <c r="B27" s="38" t="s">
        <v>252</v>
      </c>
      <c r="C27" s="26" t="s">
        <v>100</v>
      </c>
      <c r="D27" s="14" t="s">
        <v>101</v>
      </c>
      <c r="F27" s="3"/>
      <c r="G27" s="7"/>
      <c r="I27" s="24"/>
      <c r="J27" s="5"/>
    </row>
    <row r="28" spans="1:10">
      <c r="A28" s="72" t="s">
        <v>120</v>
      </c>
      <c r="B28" s="37" t="s">
        <v>254</v>
      </c>
      <c r="C28" s="24" t="s">
        <v>30</v>
      </c>
      <c r="D28" s="5" t="s">
        <v>25</v>
      </c>
      <c r="F28" s="11"/>
      <c r="G28" s="7"/>
      <c r="I28" s="27"/>
      <c r="J28" s="28"/>
    </row>
    <row r="29" spans="1:10">
      <c r="A29" s="72" t="s">
        <v>322</v>
      </c>
      <c r="B29" s="37" t="s">
        <v>252</v>
      </c>
      <c r="C29" s="24" t="s">
        <v>60</v>
      </c>
      <c r="D29" s="5" t="s">
        <v>61</v>
      </c>
      <c r="F29" s="10"/>
      <c r="G29" s="4"/>
      <c r="I29" s="24"/>
      <c r="J29" s="5"/>
    </row>
    <row r="30" spans="1:10">
      <c r="A30" s="10" t="s">
        <v>124</v>
      </c>
      <c r="B30" s="37" t="s">
        <v>254</v>
      </c>
      <c r="C30" s="24" t="s">
        <v>49</v>
      </c>
      <c r="D30" s="5" t="s">
        <v>50</v>
      </c>
      <c r="F30" s="11"/>
      <c r="G30" s="7"/>
      <c r="I30" s="28"/>
      <c r="J30" s="28"/>
    </row>
    <row r="31" spans="1:10" ht="30">
      <c r="A31" s="3" t="s">
        <v>127</v>
      </c>
      <c r="B31" s="37" t="s">
        <v>254</v>
      </c>
      <c r="C31" s="24" t="s">
        <v>30</v>
      </c>
      <c r="D31" s="5" t="s">
        <v>25</v>
      </c>
      <c r="F31" s="11"/>
      <c r="G31" s="7"/>
      <c r="I31" s="28"/>
      <c r="J31" s="28"/>
    </row>
    <row r="32" spans="1:10">
      <c r="A32" s="3" t="s">
        <v>129</v>
      </c>
      <c r="B32" s="37" t="s">
        <v>252</v>
      </c>
      <c r="C32" s="24" t="s">
        <v>60</v>
      </c>
      <c r="D32" s="5" t="s">
        <v>61</v>
      </c>
      <c r="F32" s="10"/>
      <c r="G32" s="7"/>
      <c r="I32" s="24"/>
      <c r="J32" s="5"/>
    </row>
    <row r="33" spans="1:10">
      <c r="A33" s="11" t="s">
        <v>134</v>
      </c>
      <c r="B33" s="39" t="s">
        <v>252</v>
      </c>
      <c r="C33" s="27" t="s">
        <v>24</v>
      </c>
      <c r="D33" s="29" t="s">
        <v>25</v>
      </c>
      <c r="F33" s="3"/>
      <c r="G33" s="4"/>
      <c r="I33" s="24"/>
      <c r="J33" s="5"/>
    </row>
    <row r="34" spans="1:10">
      <c r="A34" s="3" t="s">
        <v>136</v>
      </c>
      <c r="B34" s="21" t="s">
        <v>252</v>
      </c>
      <c r="C34" s="24" t="s">
        <v>60</v>
      </c>
      <c r="D34" s="5" t="s">
        <v>61</v>
      </c>
      <c r="F34" s="11"/>
      <c r="G34" s="7"/>
      <c r="I34" s="24"/>
      <c r="J34" s="5"/>
    </row>
    <row r="35" spans="1:10" ht="45">
      <c r="A35" s="6" t="s">
        <v>140</v>
      </c>
      <c r="B35" s="37" t="s">
        <v>252</v>
      </c>
      <c r="C35" s="24" t="s">
        <v>60</v>
      </c>
      <c r="D35" s="5" t="s">
        <v>61</v>
      </c>
      <c r="F35" s="3"/>
      <c r="G35" s="7"/>
      <c r="I35" s="24"/>
      <c r="J35" s="5"/>
    </row>
    <row r="36" spans="1:10">
      <c r="A36" s="3" t="s">
        <v>144</v>
      </c>
      <c r="B36" s="21" t="s">
        <v>252</v>
      </c>
      <c r="C36" s="24" t="s">
        <v>60</v>
      </c>
      <c r="D36" s="5" t="s">
        <v>61</v>
      </c>
      <c r="F36" s="10"/>
      <c r="G36" s="7"/>
      <c r="I36" s="24"/>
      <c r="J36" s="5"/>
    </row>
    <row r="37" spans="1:10" ht="30">
      <c r="A37" s="3" t="s">
        <v>148</v>
      </c>
      <c r="B37" s="21" t="s">
        <v>254</v>
      </c>
      <c r="C37" s="24" t="s">
        <v>30</v>
      </c>
      <c r="D37" s="5" t="s">
        <v>25</v>
      </c>
      <c r="F37" s="3"/>
      <c r="G37" s="12"/>
      <c r="H37" s="13"/>
      <c r="I37" s="26"/>
      <c r="J37" s="14"/>
    </row>
    <row r="38" spans="1:10">
      <c r="A38" s="3" t="s">
        <v>156</v>
      </c>
      <c r="B38" s="37" t="s">
        <v>254</v>
      </c>
      <c r="C38" s="24" t="s">
        <v>49</v>
      </c>
      <c r="D38" s="5" t="s">
        <v>50</v>
      </c>
      <c r="F38" s="10"/>
      <c r="G38" s="4"/>
      <c r="I38" s="24"/>
      <c r="J38" s="5"/>
    </row>
    <row r="39" spans="1:10">
      <c r="A39" s="10" t="s">
        <v>158</v>
      </c>
      <c r="B39" s="37" t="s">
        <v>252</v>
      </c>
      <c r="C39" s="24" t="s">
        <v>60</v>
      </c>
      <c r="D39" s="5" t="s">
        <v>61</v>
      </c>
      <c r="F39" s="3"/>
      <c r="G39" s="4"/>
      <c r="I39" s="24"/>
      <c r="J39" s="5"/>
    </row>
    <row r="40" spans="1:10" ht="30">
      <c r="A40" s="3" t="s">
        <v>163</v>
      </c>
      <c r="B40" s="37" t="s">
        <v>254</v>
      </c>
      <c r="C40" s="26" t="s">
        <v>30</v>
      </c>
      <c r="D40" s="14" t="s">
        <v>25</v>
      </c>
      <c r="F40" s="3"/>
      <c r="G40" s="4"/>
      <c r="I40" s="24"/>
      <c r="J40" s="5"/>
    </row>
    <row r="41" spans="1:10" ht="30">
      <c r="A41" s="72" t="s">
        <v>166</v>
      </c>
      <c r="B41" s="37" t="s">
        <v>254</v>
      </c>
      <c r="C41" s="24" t="s">
        <v>49</v>
      </c>
      <c r="D41" s="5" t="s">
        <v>50</v>
      </c>
      <c r="F41" s="11"/>
      <c r="G41" s="15"/>
      <c r="I41" s="27"/>
      <c r="J41" s="29"/>
    </row>
    <row r="42" spans="1:10" ht="30">
      <c r="A42" s="72" t="s">
        <v>169</v>
      </c>
      <c r="B42" s="37" t="s">
        <v>254</v>
      </c>
      <c r="C42" s="24" t="s">
        <v>30</v>
      </c>
      <c r="D42" s="5" t="s">
        <v>25</v>
      </c>
      <c r="F42" s="3"/>
      <c r="G42" s="7"/>
      <c r="I42" s="24"/>
      <c r="J42" s="5"/>
    </row>
    <row r="43" spans="1:10">
      <c r="A43" s="83" t="s">
        <v>293</v>
      </c>
      <c r="B43" s="37" t="s">
        <v>254</v>
      </c>
      <c r="C43" s="24" t="s">
        <v>49</v>
      </c>
      <c r="D43" s="5" t="s">
        <v>50</v>
      </c>
      <c r="F43" s="3"/>
      <c r="G43" s="7"/>
      <c r="I43" s="24"/>
      <c r="J43" s="5"/>
    </row>
    <row r="44" spans="1:10">
      <c r="A44" s="68" t="s">
        <v>294</v>
      </c>
      <c r="B44" s="37" t="s">
        <v>254</v>
      </c>
      <c r="C44" s="24" t="s">
        <v>62</v>
      </c>
      <c r="D44" s="5" t="s">
        <v>50</v>
      </c>
      <c r="F44" s="3"/>
      <c r="G44" s="7"/>
      <c r="I44" s="24"/>
      <c r="J44" s="5"/>
    </row>
    <row r="45" spans="1:10" ht="30">
      <c r="A45" s="10" t="s">
        <v>172</v>
      </c>
      <c r="B45" s="37" t="s">
        <v>254</v>
      </c>
      <c r="C45" s="24" t="s">
        <v>30</v>
      </c>
      <c r="D45" s="5" t="s">
        <v>25</v>
      </c>
    </row>
    <row r="46" spans="1:10">
      <c r="A46" s="3" t="s">
        <v>176</v>
      </c>
      <c r="B46" s="37" t="s">
        <v>254</v>
      </c>
      <c r="C46" s="24" t="s">
        <v>49</v>
      </c>
      <c r="D46" s="5" t="s">
        <v>50</v>
      </c>
    </row>
    <row r="47" spans="1:10">
      <c r="A47" s="3" t="s">
        <v>179</v>
      </c>
      <c r="B47" s="37" t="s">
        <v>254</v>
      </c>
      <c r="C47" s="24" t="s">
        <v>49</v>
      </c>
      <c r="D47" s="5" t="s">
        <v>50</v>
      </c>
    </row>
    <row r="48" spans="1:10">
      <c r="A48" s="88" t="s">
        <v>295</v>
      </c>
      <c r="B48" s="37" t="s">
        <v>254</v>
      </c>
      <c r="C48" s="24" t="s">
        <v>49</v>
      </c>
      <c r="D48" s="5" t="s">
        <v>50</v>
      </c>
    </row>
    <row r="49" spans="1:11">
      <c r="A49" s="19" t="s">
        <v>181</v>
      </c>
      <c r="B49" s="40" t="s">
        <v>254</v>
      </c>
      <c r="C49" s="28" t="s">
        <v>49</v>
      </c>
      <c r="D49" s="28" t="s">
        <v>84</v>
      </c>
    </row>
    <row r="50" spans="1:11">
      <c r="A50" s="18" t="s">
        <v>185</v>
      </c>
      <c r="B50" s="37" t="s">
        <v>252</v>
      </c>
      <c r="C50" s="24" t="s">
        <v>100</v>
      </c>
      <c r="D50" s="5" t="s">
        <v>101</v>
      </c>
    </row>
    <row r="51" spans="1:11">
      <c r="A51" s="18" t="s">
        <v>190</v>
      </c>
      <c r="B51" s="37" t="s">
        <v>252</v>
      </c>
      <c r="C51" s="24" t="s">
        <v>60</v>
      </c>
      <c r="D51" s="5" t="s">
        <v>61</v>
      </c>
    </row>
    <row r="52" spans="1:11">
      <c r="A52" s="19" t="s">
        <v>192</v>
      </c>
      <c r="B52" s="21" t="s">
        <v>251</v>
      </c>
      <c r="C52" s="28" t="s">
        <v>194</v>
      </c>
      <c r="D52" s="28" t="s">
        <v>68</v>
      </c>
    </row>
    <row r="53" spans="1:11">
      <c r="A53" s="3" t="s">
        <v>195</v>
      </c>
      <c r="B53" s="37" t="s">
        <v>254</v>
      </c>
      <c r="C53" s="27" t="s">
        <v>49</v>
      </c>
      <c r="D53" s="5" t="s">
        <v>50</v>
      </c>
    </row>
    <row r="54" spans="1:11">
      <c r="A54" s="73" t="s">
        <v>299</v>
      </c>
      <c r="B54" s="11" t="s">
        <v>315</v>
      </c>
      <c r="C54" s="11" t="s">
        <v>255</v>
      </c>
      <c r="D54" s="24" t="s">
        <v>259</v>
      </c>
      <c r="E54" s="9"/>
      <c r="F54" s="5"/>
      <c r="G54" s="5"/>
      <c r="H54" s="5"/>
      <c r="I54" s="5"/>
      <c r="J54" s="5"/>
      <c r="K54" s="5"/>
    </row>
    <row r="55" spans="1:11" ht="30">
      <c r="A55" s="3" t="s">
        <v>197</v>
      </c>
      <c r="B55" s="37" t="s">
        <v>254</v>
      </c>
      <c r="C55" s="27" t="s">
        <v>30</v>
      </c>
      <c r="D55" s="5" t="s">
        <v>25</v>
      </c>
    </row>
    <row r="56" spans="1:11">
      <c r="A56" s="19" t="s">
        <v>200</v>
      </c>
      <c r="B56" s="21" t="s">
        <v>254</v>
      </c>
      <c r="C56" s="27" t="s">
        <v>49</v>
      </c>
      <c r="D56" s="28" t="s">
        <v>84</v>
      </c>
    </row>
    <row r="57" spans="1:11">
      <c r="A57" s="17" t="s">
        <v>202</v>
      </c>
      <c r="B57" s="37" t="s">
        <v>254</v>
      </c>
      <c r="C57" s="24" t="s">
        <v>49</v>
      </c>
      <c r="D57" s="5" t="s">
        <v>50</v>
      </c>
    </row>
    <row r="58" spans="1:11">
      <c r="A58" s="17" t="s">
        <v>205</v>
      </c>
      <c r="B58" s="21" t="s">
        <v>254</v>
      </c>
      <c r="C58" s="24" t="s">
        <v>49</v>
      </c>
      <c r="D58" s="5" t="s">
        <v>50</v>
      </c>
    </row>
    <row r="59" spans="1:11">
      <c r="A59" s="59" t="s">
        <v>302</v>
      </c>
      <c r="B59" s="21" t="s">
        <v>252</v>
      </c>
      <c r="C59" s="24" t="s">
        <v>24</v>
      </c>
      <c r="D59" s="5" t="s">
        <v>25</v>
      </c>
    </row>
    <row r="60" spans="1:11" ht="30">
      <c r="A60" s="18" t="s">
        <v>228</v>
      </c>
      <c r="B60" s="37" t="s">
        <v>254</v>
      </c>
      <c r="C60" s="24" t="s">
        <v>30</v>
      </c>
      <c r="D60" s="5" t="s">
        <v>25</v>
      </c>
    </row>
    <row r="61" spans="1:11">
      <c r="A61" s="86" t="s">
        <v>232</v>
      </c>
      <c r="B61" s="37" t="s">
        <v>254</v>
      </c>
      <c r="C61" s="24" t="s">
        <v>30</v>
      </c>
      <c r="D61" s="5" t="s">
        <v>233</v>
      </c>
    </row>
    <row r="62" spans="1:11">
      <c r="A62" s="18" t="s">
        <v>234</v>
      </c>
      <c r="B62" s="37" t="s">
        <v>254</v>
      </c>
      <c r="C62" s="24" t="s">
        <v>49</v>
      </c>
      <c r="D62" s="5" t="s">
        <v>50</v>
      </c>
    </row>
    <row r="63" spans="1:11" ht="45">
      <c r="A63" s="18" t="s">
        <v>323</v>
      </c>
      <c r="B63" s="37" t="s">
        <v>252</v>
      </c>
      <c r="C63" s="24" t="s">
        <v>60</v>
      </c>
      <c r="D63" s="5" t="s">
        <v>61</v>
      </c>
    </row>
    <row r="64" spans="1:11">
      <c r="A64" s="17" t="s">
        <v>240</v>
      </c>
      <c r="B64" s="37" t="s">
        <v>252</v>
      </c>
      <c r="C64" s="24" t="s">
        <v>60</v>
      </c>
      <c r="D64" s="5" t="s">
        <v>61</v>
      </c>
    </row>
  </sheetData>
  <mergeCells count="1">
    <mergeCell ref="A3:D3"/>
  </mergeCells>
  <conditionalFormatting sqref="A4:A53 A55:A64">
    <cfRule type="duplicateValues" dxfId="15" priority="33"/>
  </conditionalFormatting>
  <conditionalFormatting sqref="B54">
    <cfRule type="expression" dxfId="14" priority="63">
      <formula>#REF!="N"</formula>
    </cfRule>
    <cfRule type="expression" dxfId="13" priority="64">
      <formula>#REF!="C"</formula>
    </cfRule>
    <cfRule type="expression" dxfId="12" priority="65">
      <formula>#REF!="Y"</formula>
    </cfRule>
    <cfRule type="expression" dxfId="11" priority="66">
      <formula>#REF!="O"</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5" id="{19E8EE6B-9A4A-46CE-89E4-7D2E90E5C0BC}">
            <xm:f>'Group 1 ALL'!#REF!="N"</xm:f>
            <x14:dxf>
              <fill>
                <patternFill>
                  <bgColor theme="2" tint="-0.24994659260841701"/>
                </patternFill>
              </fill>
            </x14:dxf>
          </x14:cfRule>
          <x14:cfRule type="expression" priority="26" id="{0C3A9090-BE21-4C13-A0D3-A55B27CE407A}">
            <xm:f>'Group 1 ALL'!#REF!="C"</xm:f>
            <x14:dxf>
              <fill>
                <patternFill>
                  <bgColor theme="4" tint="0.39994506668294322"/>
                </patternFill>
              </fill>
            </x14:dxf>
          </x14:cfRule>
          <x14:cfRule type="expression" priority="27" id="{AB206071-8061-4612-91C6-3A643BBB126A}">
            <xm:f>'Group 1 ALL'!#REF!="Y"</xm:f>
            <x14:dxf>
              <fill>
                <patternFill>
                  <bgColor rgb="FF92D050"/>
                </patternFill>
              </fill>
            </x14:dxf>
          </x14:cfRule>
          <x14:cfRule type="expression" priority="28" id="{65EC0B6B-C882-4BF2-9990-3FF5A7DAF23A}">
            <xm:f>'Group 1 ALL'!#REF!="O"</xm:f>
            <x14:dxf>
              <fill>
                <patternFill>
                  <bgColor theme="7" tint="0.39994506668294322"/>
                </patternFill>
              </fill>
            </x14:dxf>
          </x14:cfRule>
          <xm:sqref>C41:D41</xm:sqref>
        </x14:conditionalFormatting>
        <x14:conditionalFormatting xmlns:xm="http://schemas.microsoft.com/office/excel/2006/main">
          <x14:cfRule type="expression" priority="51" id="{C6C5D91F-26EB-4700-B411-024958D85422}">
            <xm:f>'Group 1 ALL'!#REF!="N"</xm:f>
            <x14:dxf>
              <fill>
                <patternFill>
                  <bgColor theme="2" tint="-0.24994659260841701"/>
                </patternFill>
              </fill>
            </x14:dxf>
          </x14:cfRule>
          <x14:cfRule type="expression" priority="52" id="{5F7F59ED-15DD-45D9-AF7B-B67241FDEFB1}">
            <xm:f>'Group 1 ALL'!#REF!="C"</xm:f>
            <x14:dxf>
              <fill>
                <patternFill>
                  <bgColor theme="4" tint="0.39994506668294322"/>
                </patternFill>
              </fill>
            </x14:dxf>
          </x14:cfRule>
          <x14:cfRule type="expression" priority="53" id="{414A04D5-6A38-429B-893E-966DDCB9237D}">
            <xm:f>'Group 1 ALL'!#REF!="Y"</xm:f>
            <x14:dxf>
              <fill>
                <patternFill>
                  <bgColor rgb="FF92D050"/>
                </patternFill>
              </fill>
            </x14:dxf>
          </x14:cfRule>
          <x14:cfRule type="expression" priority="54" id="{B9295C4C-62EF-4379-B951-9C31BF4F0AE1}">
            <xm:f>'Group 1 ALL'!#REF!="O"</xm:f>
            <x14:dxf>
              <fill>
                <patternFill>
                  <bgColor theme="7" tint="0.39994506668294322"/>
                </patternFill>
              </fill>
            </x14:dxf>
          </x14:cfRule>
          <xm:sqref>B42:D44 B46:D46 B37:D37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A4" sqref="A4:C10"/>
    </sheetView>
  </sheetViews>
  <sheetFormatPr defaultRowHeight="15"/>
  <cols>
    <col min="1" max="1" width="28" customWidth="1"/>
    <col min="2" max="2" width="13.42578125" bestFit="1" customWidth="1"/>
    <col min="3" max="3" width="14.7109375" bestFit="1" customWidth="1"/>
  </cols>
  <sheetData>
    <row r="1" spans="1:3">
      <c r="A1" t="s">
        <v>0</v>
      </c>
    </row>
    <row r="4" spans="1:3" ht="15.75">
      <c r="A4" s="114" t="s">
        <v>266</v>
      </c>
      <c r="B4" s="114"/>
      <c r="C4" s="114"/>
    </row>
    <row r="5" spans="1:3">
      <c r="A5" s="45" t="s">
        <v>3</v>
      </c>
      <c r="B5" s="46" t="s">
        <v>6</v>
      </c>
      <c r="C5" s="46" t="s">
        <v>7</v>
      </c>
    </row>
    <row r="6" spans="1:3">
      <c r="A6" s="11" t="s">
        <v>98</v>
      </c>
      <c r="B6" s="24" t="s">
        <v>100</v>
      </c>
      <c r="C6" s="5" t="s">
        <v>101</v>
      </c>
    </row>
    <row r="7" spans="1:3" ht="45">
      <c r="A7" s="3" t="s">
        <v>113</v>
      </c>
      <c r="B7" s="26" t="s">
        <v>100</v>
      </c>
      <c r="C7" s="14" t="s">
        <v>101</v>
      </c>
    </row>
    <row r="8" spans="1:3">
      <c r="A8" s="18" t="s">
        <v>185</v>
      </c>
      <c r="B8" s="24" t="s">
        <v>100</v>
      </c>
      <c r="C8" s="5" t="s">
        <v>101</v>
      </c>
    </row>
    <row r="9" spans="1:3">
      <c r="A9" s="17" t="s">
        <v>209</v>
      </c>
      <c r="B9" s="24" t="s">
        <v>100</v>
      </c>
      <c r="C9" s="5" t="s">
        <v>101</v>
      </c>
    </row>
    <row r="10" spans="1:3" ht="30">
      <c r="A10" s="18" t="s">
        <v>220</v>
      </c>
      <c r="B10" s="24" t="s">
        <v>100</v>
      </c>
      <c r="C10" s="5" t="s">
        <v>101</v>
      </c>
    </row>
  </sheetData>
  <mergeCells count="1">
    <mergeCell ref="A4:C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selection activeCell="C35" sqref="C35"/>
    </sheetView>
  </sheetViews>
  <sheetFormatPr defaultRowHeight="15"/>
  <cols>
    <col min="1" max="1" width="58.85546875" customWidth="1"/>
    <col min="2" max="2" width="11.28515625" style="5" hidden="1" customWidth="1"/>
    <col min="3" max="4" width="21.7109375" style="5" bestFit="1" customWidth="1"/>
    <col min="5" max="5" width="26.7109375" style="5" bestFit="1" customWidth="1"/>
  </cols>
  <sheetData>
    <row r="1" spans="1:5" ht="30.75" thickBot="1">
      <c r="A1" s="109"/>
      <c r="B1" s="100" t="s">
        <v>251</v>
      </c>
      <c r="C1" s="107" t="s">
        <v>265</v>
      </c>
      <c r="D1" s="107" t="s">
        <v>341</v>
      </c>
      <c r="E1" s="101" t="s">
        <v>344</v>
      </c>
    </row>
    <row r="2" spans="1:5">
      <c r="A2" s="110" t="s">
        <v>342</v>
      </c>
      <c r="B2" s="102"/>
      <c r="C2" s="102"/>
      <c r="D2" s="102"/>
      <c r="E2" s="103"/>
    </row>
    <row r="3" spans="1:5">
      <c r="A3" s="111" t="s">
        <v>41</v>
      </c>
      <c r="B3" s="96" t="s">
        <v>254</v>
      </c>
      <c r="C3" s="96" t="s">
        <v>30</v>
      </c>
      <c r="D3" s="105">
        <v>200</v>
      </c>
      <c r="E3" s="97">
        <f>D3*0.05</f>
        <v>10</v>
      </c>
    </row>
    <row r="4" spans="1:5">
      <c r="A4" s="111" t="s">
        <v>95</v>
      </c>
      <c r="B4" s="96" t="s">
        <v>252</v>
      </c>
      <c r="C4" s="96" t="s">
        <v>24</v>
      </c>
      <c r="D4" s="105">
        <v>200</v>
      </c>
      <c r="E4" s="97">
        <f t="shared" ref="E4:E15" si="0">D4*0.05</f>
        <v>10</v>
      </c>
    </row>
    <row r="5" spans="1:5">
      <c r="A5" s="111" t="s">
        <v>98</v>
      </c>
      <c r="B5" s="96" t="s">
        <v>252</v>
      </c>
      <c r="C5" s="96" t="s">
        <v>100</v>
      </c>
      <c r="D5" s="105">
        <v>1000</v>
      </c>
      <c r="E5" s="97" t="s">
        <v>345</v>
      </c>
    </row>
    <row r="6" spans="1:5">
      <c r="A6" s="111" t="s">
        <v>117</v>
      </c>
      <c r="B6" s="96" t="s">
        <v>254</v>
      </c>
      <c r="C6" s="96" t="s">
        <v>30</v>
      </c>
      <c r="D6" s="105">
        <v>200</v>
      </c>
      <c r="E6" s="97">
        <f t="shared" si="0"/>
        <v>10</v>
      </c>
    </row>
    <row r="7" spans="1:5">
      <c r="A7" s="111" t="s">
        <v>150</v>
      </c>
      <c r="B7" s="96" t="s">
        <v>254</v>
      </c>
      <c r="C7" s="96" t="s">
        <v>30</v>
      </c>
      <c r="D7" s="105">
        <v>200</v>
      </c>
      <c r="E7" s="97">
        <f t="shared" si="0"/>
        <v>10</v>
      </c>
    </row>
    <row r="8" spans="1:5">
      <c r="A8" s="111" t="s">
        <v>170</v>
      </c>
      <c r="B8" s="96" t="s">
        <v>254</v>
      </c>
      <c r="C8" s="96" t="s">
        <v>30</v>
      </c>
      <c r="D8" s="105">
        <v>200</v>
      </c>
      <c r="E8" s="97">
        <f t="shared" si="0"/>
        <v>10</v>
      </c>
    </row>
    <row r="9" spans="1:5">
      <c r="A9" s="111" t="s">
        <v>183</v>
      </c>
      <c r="B9" s="96" t="s">
        <v>252</v>
      </c>
      <c r="C9" s="96" t="s">
        <v>60</v>
      </c>
      <c r="D9" s="105">
        <v>300</v>
      </c>
      <c r="E9" s="97">
        <f t="shared" si="0"/>
        <v>15</v>
      </c>
    </row>
    <row r="10" spans="1:5">
      <c r="A10" s="111" t="s">
        <v>209</v>
      </c>
      <c r="B10" s="96" t="s">
        <v>252</v>
      </c>
      <c r="C10" s="96" t="s">
        <v>100</v>
      </c>
      <c r="D10" s="105">
        <v>1000</v>
      </c>
      <c r="E10" s="97" t="s">
        <v>345</v>
      </c>
    </row>
    <row r="11" spans="1:5">
      <c r="A11" s="111" t="s">
        <v>213</v>
      </c>
      <c r="B11" s="96" t="s">
        <v>252</v>
      </c>
      <c r="C11" s="96" t="s">
        <v>60</v>
      </c>
      <c r="D11" s="105">
        <v>300</v>
      </c>
      <c r="E11" s="97">
        <f t="shared" si="0"/>
        <v>15</v>
      </c>
    </row>
    <row r="12" spans="1:5">
      <c r="A12" s="111" t="s">
        <v>218</v>
      </c>
      <c r="B12" s="96" t="s">
        <v>254</v>
      </c>
      <c r="C12" s="96" t="s">
        <v>30</v>
      </c>
      <c r="D12" s="105">
        <v>200</v>
      </c>
      <c r="E12" s="97">
        <f t="shared" si="0"/>
        <v>10</v>
      </c>
    </row>
    <row r="13" spans="1:5">
      <c r="A13" s="111" t="s">
        <v>220</v>
      </c>
      <c r="B13" s="96" t="s">
        <v>252</v>
      </c>
      <c r="C13" s="96" t="s">
        <v>100</v>
      </c>
      <c r="D13" s="105">
        <v>1000</v>
      </c>
      <c r="E13" s="97" t="s">
        <v>345</v>
      </c>
    </row>
    <row r="14" spans="1:5">
      <c r="A14" s="111" t="s">
        <v>223</v>
      </c>
      <c r="B14" s="96" t="s">
        <v>254</v>
      </c>
      <c r="C14" s="96" t="s">
        <v>30</v>
      </c>
      <c r="D14" s="105">
        <v>200</v>
      </c>
      <c r="E14" s="97">
        <f t="shared" si="0"/>
        <v>10</v>
      </c>
    </row>
    <row r="15" spans="1:5">
      <c r="A15" s="111" t="s">
        <v>236</v>
      </c>
      <c r="B15" s="96" t="s">
        <v>254</v>
      </c>
      <c r="C15" s="96" t="s">
        <v>30</v>
      </c>
      <c r="D15" s="105">
        <v>200</v>
      </c>
      <c r="E15" s="97">
        <f t="shared" si="0"/>
        <v>10</v>
      </c>
    </row>
    <row r="16" spans="1:5">
      <c r="A16" s="111"/>
      <c r="B16" s="96"/>
      <c r="C16" s="96"/>
      <c r="D16" s="105"/>
      <c r="E16" s="97"/>
    </row>
    <row r="17" spans="1:5">
      <c r="A17" s="110" t="s">
        <v>343</v>
      </c>
      <c r="B17" s="102"/>
      <c r="C17" s="102"/>
      <c r="D17" s="106"/>
      <c r="E17" s="104"/>
    </row>
    <row r="18" spans="1:5">
      <c r="A18" s="18" t="s">
        <v>58</v>
      </c>
      <c r="B18" s="96" t="s">
        <v>252</v>
      </c>
      <c r="C18" s="96" t="s">
        <v>60</v>
      </c>
      <c r="D18" s="105">
        <v>300</v>
      </c>
      <c r="E18" s="97">
        <f t="shared" ref="E18:E20" si="1">D18*0.05</f>
        <v>15</v>
      </c>
    </row>
    <row r="19" spans="1:5" ht="30">
      <c r="A19" s="18" t="s">
        <v>88</v>
      </c>
      <c r="B19" s="96" t="s">
        <v>252</v>
      </c>
      <c r="C19" s="96" t="s">
        <v>60</v>
      </c>
      <c r="D19" s="105">
        <v>300</v>
      </c>
      <c r="E19" s="97">
        <f t="shared" si="1"/>
        <v>15</v>
      </c>
    </row>
    <row r="20" spans="1:5" ht="30">
      <c r="A20" s="18" t="s">
        <v>105</v>
      </c>
      <c r="B20" s="96" t="s">
        <v>252</v>
      </c>
      <c r="C20" s="96" t="s">
        <v>60</v>
      </c>
      <c r="D20" s="105">
        <v>300</v>
      </c>
      <c r="E20" s="97">
        <f t="shared" si="1"/>
        <v>15</v>
      </c>
    </row>
    <row r="21" spans="1:5">
      <c r="A21" s="111" t="s">
        <v>113</v>
      </c>
      <c r="B21" s="96" t="s">
        <v>252</v>
      </c>
      <c r="C21" s="96" t="s">
        <v>100</v>
      </c>
      <c r="D21" s="105">
        <v>1000</v>
      </c>
      <c r="E21" s="97" t="s">
        <v>345</v>
      </c>
    </row>
    <row r="22" spans="1:5" ht="15.75" thickBot="1">
      <c r="A22" s="112" t="s">
        <v>185</v>
      </c>
      <c r="B22" s="98" t="s">
        <v>252</v>
      </c>
      <c r="C22" s="98" t="s">
        <v>100</v>
      </c>
      <c r="D22" s="108">
        <v>1000</v>
      </c>
      <c r="E22" s="99" t="s">
        <v>345</v>
      </c>
    </row>
    <row r="23" spans="1:5">
      <c r="E23" s="95"/>
    </row>
    <row r="24" spans="1:5">
      <c r="E24" s="95"/>
    </row>
    <row r="25" spans="1:5">
      <c r="E25" s="95"/>
    </row>
    <row r="26" spans="1:5">
      <c r="E26" s="95"/>
    </row>
  </sheetData>
  <conditionalFormatting sqref="A18">
    <cfRule type="duplicateValues" dxfId="2" priority="3"/>
  </conditionalFormatting>
  <conditionalFormatting sqref="A19">
    <cfRule type="duplicateValues" dxfId="1" priority="2"/>
  </conditionalFormatting>
  <conditionalFormatting sqref="A20">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FinRes Types</vt:lpstr>
      <vt:lpstr>FRP Stats</vt:lpstr>
      <vt:lpstr>ALL - Totals</vt:lpstr>
      <vt:lpstr>Group 1 ALL</vt:lpstr>
      <vt:lpstr>Group 2 ALL</vt:lpstr>
      <vt:lpstr>Oil Class 1</vt:lpstr>
      <vt:lpstr>NEW JENNIFER</vt:lpstr>
    </vt:vector>
  </TitlesOfParts>
  <Company>National Energy Board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Donovan Pederson</dc:creator>
  <cp:lastModifiedBy>Grant Moss</cp:lastModifiedBy>
  <dcterms:created xsi:type="dcterms:W3CDTF">2020-09-08T17:15:50Z</dcterms:created>
  <dcterms:modified xsi:type="dcterms:W3CDTF">2020-09-16T18:37:42Z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ies>
</file>